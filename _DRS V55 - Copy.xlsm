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https://mmstokyo101.sharepoint.com/sites/MMSTechnical/Shared Documents/General/PMS Team/Files/DRS/"/>
    </mc:Choice>
  </mc:AlternateContent>
  <xr:revisionPtr revIDLastSave="193" documentId="8_{FF2DF0BC-DCF8-42CB-90CB-D6565154B289}" xr6:coauthVersionLast="47" xr6:coauthVersionMax="47" xr10:uidLastSave="{5A079E58-DF56-4B23-8BEE-3F36E45A37F4}"/>
  <bookViews>
    <workbookView xWindow="-120" yWindow="-16320" windowWidth="29040" windowHeight="1572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ListInfo!$N$5:$N$98</definedName>
    <definedName name="Status">ListInfo!$AD$2:$AD$3</definedName>
    <definedName name="STR">ListInfo!$K$246:$K$250</definedName>
    <definedName name="threelettershipcode">ListInfo!$AN$2:$AN$69</definedName>
    <definedName name="vesseldata">ListInfo!$N$5:$Q$98</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<sst xmlns="http://schemas.openxmlformats.org/spreadsheetml/2006/main" count="1402" uniqueCount="1104">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</sst>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0">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0"/>
      <color theme="1"/>
      <name val="Arial"/>
      <family val="2"/>
    </font>
    <font>
      <b/>
      <sz val="10"/>
      <color theme="1"/>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25">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1" fillId="0" borderId="1" xfId="0" applyNumberFormat="1" applyFont="1" applyBorder="1" applyAlignment="1"/>
    <xf numFmtId="14" fontId="21" fillId="0" borderId="1" xfId="0" applyNumberFormat="1" applyFont="1" applyBorder="1" applyAlignment="1"/>
    <xf numFmtId="49" fontId="21" fillId="0" borderId="1" xfId="0" applyNumberFormat="1" applyFont="1" applyBorder="1" applyAlignment="1">
      <alignment horizontal="right"/>
    </xf>
    <xf numFmtId="49" fontId="21" fillId="0" borderId="1" xfId="0" applyNumberFormat="1" applyFont="1" applyBorder="1" applyAlignment="1">
      <alignment horizontal="center"/>
    </xf>
    <xf numFmtId="1" fontId="21" fillId="0" borderId="1" xfId="0" applyNumberFormat="1" applyFont="1" applyBorder="1" applyAlignment="1">
      <alignment horizontal="center"/>
    </xf>
    <xf numFmtId="164" fontId="21" fillId="0" borderId="1" xfId="0" applyNumberFormat="1" applyFont="1" applyBorder="1" applyAlignment="1"/>
    <xf numFmtId="0" fontId="22" fillId="0" borderId="1" xfId="0" applyFont="1" applyBorder="1" applyAlignment="1"/>
    <xf numFmtId="14" fontId="21" fillId="0" borderId="5" xfId="0" applyNumberFormat="1" applyFont="1" applyBorder="1" applyAlignment="1"/>
    <xf numFmtId="0" fontId="4" fillId="0" borderId="0" xfId="1" applyFill="1" applyAlignment="1" applyProtection="1"/>
    <xf numFmtId="0" fontId="0" fillId="0" borderId="0" xfId="0" applyAlignment="1">
      <alignment wrapText="1"/>
    </xf>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3" fillId="14" borderId="5" xfId="2" applyFont="1" applyFill="1" applyBorder="1" applyAlignment="1">
      <alignment horizontal="center" vertical="center" wrapText="1"/>
    </xf>
    <xf numFmtId="0" fontId="21" fillId="0" borderId="1" xfId="0" applyFont="1" applyBorder="1" applyAlignment="1">
      <alignment horizontal="center"/>
    </xf>
    <xf numFmtId="0" fontId="21" fillId="0" borderId="1" xfId="0" applyFont="1" applyBorder="1" applyAlignment="1"/>
    <xf numFmtId="49" fontId="24"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5" fillId="0" borderId="0" xfId="0" applyFont="1"/>
    <xf numFmtId="0" fontId="26" fillId="0" borderId="4" xfId="0" applyFont="1" applyBorder="1" applyAlignment="1">
      <alignment vertical="center" wrapText="1"/>
    </xf>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xf numFmtId="0" fontId="9" fillId="0" borderId="0" xfId="0" applyFont="1"/>
    <xf numFmtId="0" fontId="27" fillId="0" borderId="0" xfId="0" applyFont="1"/>
    <xf numFmtId="1" fontId="25" fillId="0" borderId="0" xfId="0" applyNumberFormat="1" applyFont="1"/>
    <xf numFmtId="0" fontId="25" fillId="0" borderId="0" xfId="0" applyFont="1" applyAlignment="1" applyProtection="1"/>
    <xf numFmtId="0" fontId="9" fillId="0" borderId="0" xfId="0" applyFont="1" applyAlignment="1" applyProtection="1"/>
    <xf numFmtId="0" fontId="28" fillId="0" borderId="0" xfId="0" applyFont="1"/>
    <xf numFmtId="0" fontId="29"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cellXfs>
  <cellStyles count="3">
    <cellStyle name="Hyperlink" xfId="1" builtinId="8"/>
    <cellStyle name="Normal" xfId="0" builtinId="0"/>
    <cellStyle name="Normal 2" xfId="2" xr:uid="{00000000-0005-0000-0000-000002000000}"/>
  </cellStyles>
  <dxfs count="21">
    <dxf>
      <font>
        <strike val="0"/>
        <outline val="0"/>
        <shadow val="0"/>
        <u val="none"/>
        <vertAlign val="baseline"/>
        <sz val="10"/>
      </font>
    </dxf>
    <dxf>
      <font>
        <strike val="0"/>
        <outline val="0"/>
        <shadow val="0"/>
        <u val="none"/>
        <vertAlign val="baseline"/>
        <sz val="10"/>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xdr:colOff>
          <xdr:row>1</xdr:row>
          <xdr:rowOff>60960</xdr:rowOff>
        </xdr:from>
        <xdr:to>
          <xdr:col>10</xdr:col>
          <xdr:colOff>1546860</xdr:colOff>
          <xdr:row>2</xdr:row>
          <xdr:rowOff>198120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30480</xdr:rowOff>
        </xdr:from>
        <xdr:to>
          <xdr:col>13</xdr:col>
          <xdr:colOff>22860</xdr:colOff>
          <xdr:row>4</xdr:row>
          <xdr:rowOff>160020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3</xdr:row>
          <xdr:rowOff>38100</xdr:rowOff>
        </xdr:from>
        <xdr:to>
          <xdr:col>10</xdr:col>
          <xdr:colOff>1592580</xdr:colOff>
          <xdr:row>4</xdr:row>
          <xdr:rowOff>198120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1630680</xdr:colOff>
          <xdr:row>1</xdr:row>
          <xdr:rowOff>60960</xdr:rowOff>
        </xdr:from>
        <xdr:to>
          <xdr:col>13</xdr:col>
          <xdr:colOff>7620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0</xdr:row>
          <xdr:rowOff>0</xdr:rowOff>
        </xdr:from>
        <xdr:to>
          <xdr:col>2</xdr:col>
          <xdr:colOff>1417320</xdr:colOff>
          <xdr:row>0</xdr:row>
          <xdr:rowOff>220980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8" totalsRowShown="0" headerRowDxfId="1" dataDxfId="0">
  <autoFilter ref="N4:Q98" xr:uid="{00000000-0009-0000-0100-000003000000}"/>
  <sortState xmlns:xlrd2="http://schemas.microsoft.com/office/spreadsheetml/2017/richdata2" ref="N5:Q98">
    <sortCondition ref="N4:N98"/>
  </sortState>
  <tableColumns count="4">
    <tableColumn id="1" xr3:uid="{00000000-0010-0000-0200-000001000000}" name="vslName" dataDxfId="5"/>
    <tableColumn id="2" xr3:uid="{00000000-0010-0000-0200-000002000000}" name="IMO" dataDxfId="4"/>
    <tableColumn id="3" xr3:uid="{00000000-0010-0000-0200-000003000000}" name="threeCode" dataDxfId="3"/>
    <tableColumn id="4" xr3:uid="{00000000-0010-0000-0200-000004000000}" name="DRSCode" dataDxfId="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3.8"/>
  <cols>
    <col min="1" max="1" width="4.21875" style="55" bestFit="1" customWidth="1"/>
    <col min="2" max="2" width="91" style="57" bestFit="1" customWidth="1"/>
    <col min="3" max="3" width="3.44140625" style="57" customWidth="1"/>
    <col min="4" max="4" width="4.6640625" style="57" customWidth="1"/>
    <col min="5" max="5" width="11.88671875" style="57" customWidth="1"/>
    <col min="6" max="6" width="62.88671875" style="57" customWidth="1"/>
    <col min="7" max="7" width="0" style="57" hidden="1" customWidth="1"/>
    <col min="8" max="16384" width="9" style="57" hidden="1"/>
  </cols>
  <sheetData>
    <row r="1" spans="1:6" s="54" customFormat="1" ht="28.2">
      <c r="A1" s="111" t="s">
        <v>894</v>
      </c>
      <c r="B1" s="111"/>
      <c r="C1" s="75"/>
      <c r="D1" s="110" t="s">
        <v>603</v>
      </c>
      <c r="E1" s="110"/>
      <c r="F1" s="110"/>
    </row>
    <row r="2" spans="1:6" ht="7.5" customHeight="1">
      <c r="B2" s="56"/>
      <c r="C2" s="73"/>
      <c r="E2" s="56"/>
    </row>
    <row r="3" spans="1:6" ht="15">
      <c r="A3" s="55" t="s">
        <v>587</v>
      </c>
      <c r="B3" s="72" t="s">
        <v>894</v>
      </c>
      <c r="C3" s="73"/>
      <c r="D3" s="58" t="s">
        <v>587</v>
      </c>
      <c r="E3" s="59" t="s">
        <v>588</v>
      </c>
      <c r="F3" s="60" t="s">
        <v>589</v>
      </c>
    </row>
    <row r="4" spans="1:6" ht="26.4">
      <c r="A4" s="61">
        <v>1</v>
      </c>
      <c r="B4" s="62" t="s">
        <v>623</v>
      </c>
      <c r="C4" s="73"/>
      <c r="D4" s="63">
        <v>1</v>
      </c>
      <c r="E4" s="64" t="s">
        <v>602</v>
      </c>
      <c r="F4" s="65" t="s">
        <v>622</v>
      </c>
    </row>
    <row r="5" spans="1:6" ht="26.4">
      <c r="A5" s="61">
        <v>2</v>
      </c>
      <c r="B5" s="62" t="s">
        <v>624</v>
      </c>
      <c r="C5" s="73"/>
      <c r="D5" s="63">
        <v>2</v>
      </c>
      <c r="E5" s="64" t="s">
        <v>600</v>
      </c>
      <c r="F5" s="65" t="s">
        <v>601</v>
      </c>
    </row>
    <row r="6" spans="1:6" ht="26.4">
      <c r="A6" s="61">
        <v>3</v>
      </c>
      <c r="B6" s="62" t="s">
        <v>898</v>
      </c>
      <c r="C6" s="73"/>
      <c r="D6" s="63">
        <v>3</v>
      </c>
      <c r="E6" s="64" t="s">
        <v>304</v>
      </c>
      <c r="F6" s="65" t="s">
        <v>599</v>
      </c>
    </row>
    <row r="7" spans="1:6" ht="26.4">
      <c r="A7" s="61">
        <v>4</v>
      </c>
      <c r="B7" s="62" t="s">
        <v>604</v>
      </c>
      <c r="C7" s="73"/>
      <c r="D7" s="63">
        <v>4</v>
      </c>
      <c r="E7" s="64" t="s">
        <v>598</v>
      </c>
      <c r="F7" s="65" t="s">
        <v>621</v>
      </c>
    </row>
    <row r="8" spans="1:6" ht="26.4">
      <c r="A8" s="61">
        <v>5</v>
      </c>
      <c r="B8" s="62" t="s">
        <v>625</v>
      </c>
      <c r="C8" s="73"/>
      <c r="D8" s="63">
        <v>5</v>
      </c>
      <c r="E8" s="64" t="s">
        <v>596</v>
      </c>
      <c r="F8" s="65" t="s">
        <v>597</v>
      </c>
    </row>
    <row r="9" spans="1:6" ht="39.6">
      <c r="A9" s="61">
        <v>6</v>
      </c>
      <c r="B9" s="78" t="s">
        <v>1043</v>
      </c>
      <c r="C9" s="73"/>
      <c r="D9" s="63">
        <v>6</v>
      </c>
      <c r="E9" s="64" t="s">
        <v>896</v>
      </c>
      <c r="F9" s="65" t="s">
        <v>1044</v>
      </c>
    </row>
    <row r="10" spans="1:6">
      <c r="A10" s="61">
        <v>7</v>
      </c>
      <c r="B10" s="78" t="s">
        <v>605</v>
      </c>
      <c r="C10" s="73"/>
      <c r="D10" s="63">
        <v>7</v>
      </c>
      <c r="E10" s="64" t="s">
        <v>897</v>
      </c>
      <c r="F10" s="65" t="s">
        <v>595</v>
      </c>
    </row>
    <row r="11" spans="1:6" ht="39.6">
      <c r="A11" s="61">
        <v>8</v>
      </c>
      <c r="B11" s="109" t="s">
        <v>1096</v>
      </c>
      <c r="C11" s="73"/>
      <c r="D11" s="63">
        <v>8</v>
      </c>
      <c r="E11" s="64" t="s">
        <v>593</v>
      </c>
      <c r="F11" s="65" t="s">
        <v>594</v>
      </c>
    </row>
    <row r="12" spans="1:6" ht="26.4">
      <c r="C12" s="73"/>
      <c r="D12" s="63">
        <v>9</v>
      </c>
      <c r="E12" s="64" t="s">
        <v>592</v>
      </c>
      <c r="F12" s="65" t="s">
        <v>620</v>
      </c>
    </row>
    <row r="13" spans="1:6" ht="26.4">
      <c r="C13" s="73"/>
      <c r="D13" s="63">
        <v>10</v>
      </c>
      <c r="E13" s="64" t="s">
        <v>890</v>
      </c>
      <c r="F13" s="65" t="s">
        <v>975</v>
      </c>
    </row>
    <row r="14" spans="1:6" ht="26.4">
      <c r="C14" s="73"/>
      <c r="D14" s="63">
        <v>11</v>
      </c>
      <c r="E14" s="64" t="s">
        <v>591</v>
      </c>
      <c r="F14" s="65" t="s">
        <v>976</v>
      </c>
    </row>
    <row r="15" spans="1:6">
      <c r="C15" s="73"/>
      <c r="D15" s="63">
        <v>12</v>
      </c>
      <c r="E15" s="64" t="s">
        <v>590</v>
      </c>
      <c r="F15" s="65" t="s">
        <v>586</v>
      </c>
    </row>
    <row r="16" spans="1:6" ht="26.4">
      <c r="C16" s="73"/>
      <c r="D16" s="63">
        <v>13</v>
      </c>
      <c r="E16" s="64" t="s">
        <v>606</v>
      </c>
      <c r="F16" s="65" t="s">
        <v>613</v>
      </c>
    </row>
    <row r="17" spans="3:6" ht="39.6">
      <c r="C17" s="73"/>
      <c r="D17" s="63">
        <v>14</v>
      </c>
      <c r="E17" s="64" t="s">
        <v>607</v>
      </c>
      <c r="F17" s="65" t="s">
        <v>614</v>
      </c>
    </row>
    <row r="18" spans="3:6" ht="52.8">
      <c r="C18" s="73"/>
      <c r="D18" s="63">
        <v>15</v>
      </c>
      <c r="E18" s="64" t="s">
        <v>608</v>
      </c>
      <c r="F18" s="65" t="s">
        <v>615</v>
      </c>
    </row>
    <row r="19" spans="3:6" ht="39.6">
      <c r="C19" s="73"/>
      <c r="D19" s="63">
        <v>16</v>
      </c>
      <c r="E19" s="64" t="s">
        <v>609</v>
      </c>
      <c r="F19" s="65" t="s">
        <v>616</v>
      </c>
    </row>
    <row r="20" spans="3:6" ht="26.4">
      <c r="C20" s="73"/>
      <c r="D20" s="66">
        <v>17</v>
      </c>
      <c r="E20" s="67" t="s">
        <v>610</v>
      </c>
      <c r="F20" s="68" t="s">
        <v>617</v>
      </c>
    </row>
    <row r="21" spans="3:6">
      <c r="C21" s="73"/>
      <c r="D21" s="63">
        <v>18</v>
      </c>
      <c r="E21" s="67" t="s">
        <v>611</v>
      </c>
      <c r="F21" s="68"/>
    </row>
    <row r="22" spans="3:6" ht="26.4">
      <c r="C22" s="73"/>
      <c r="D22" s="66">
        <v>19</v>
      </c>
      <c r="E22" s="67" t="s">
        <v>487</v>
      </c>
      <c r="F22" s="68" t="s">
        <v>618</v>
      </c>
    </row>
    <row r="23" spans="3:6" ht="26.4">
      <c r="C23" s="73"/>
      <c r="D23" s="63">
        <v>20</v>
      </c>
      <c r="E23" s="69" t="s">
        <v>488</v>
      </c>
      <c r="F23" s="68" t="s">
        <v>619</v>
      </c>
    </row>
    <row r="24" spans="3:6" ht="26.4">
      <c r="C24" s="73"/>
      <c r="D24" s="66">
        <v>21</v>
      </c>
      <c r="E24" s="69" t="s">
        <v>612</v>
      </c>
      <c r="F24" s="68" t="s">
        <v>1045</v>
      </c>
    </row>
    <row r="25" spans="3:6" ht="26.4">
      <c r="C25" s="73"/>
      <c r="D25" s="63">
        <v>22</v>
      </c>
      <c r="E25" s="69" t="s">
        <v>1046</v>
      </c>
      <c r="F25" s="68" t="s">
        <v>1047</v>
      </c>
    </row>
    <row r="26" spans="3:6">
      <c r="C26" s="73"/>
      <c r="D26" s="74"/>
      <c r="E26" s="74"/>
      <c r="F26" s="74"/>
    </row>
    <row r="27" spans="3:6">
      <c r="C27" s="73"/>
      <c r="D27" s="74"/>
      <c r="E27" s="74"/>
      <c r="F27" s="74"/>
    </row>
    <row r="28" spans="3:6">
      <c r="D28" s="70"/>
      <c r="E28" s="70"/>
      <c r="F28" s="70"/>
    </row>
    <row r="29" spans="3:6">
      <c r="D29" s="71"/>
      <c r="E29" s="71"/>
    </row>
    <row r="30" spans="3:6">
      <c r="D30" s="71"/>
      <c r="E30" s="71"/>
      <c r="F30" s="71"/>
    </row>
    <row r="31" spans="3:6">
      <c r="D31" s="71"/>
      <c r="E31" s="71"/>
      <c r="F31" s="71"/>
    </row>
    <row r="32" spans="3:6">
      <c r="D32" s="71"/>
      <c r="E32" s="71"/>
      <c r="F32" s="71"/>
    </row>
    <row r="33" spans="4:6">
      <c r="D33" s="71"/>
      <c r="E33" s="71"/>
      <c r="F33" s="71"/>
    </row>
    <row r="34" spans="4:6">
      <c r="D34" s="71"/>
      <c r="E34" s="71"/>
      <c r="F34" s="71"/>
    </row>
    <row r="4333" spans="1:1">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8"/>
  <sheetViews>
    <sheetView showGridLines="0" tabSelected="1" topLeftCell="B1" zoomScaleNormal="100" workbookViewId="0">
      <pane ySplit="6" topLeftCell="A7" activePane="bottomLeft" state="frozen"/>
      <selection pane="bottomLeft" activeCell="C1" sqref="C1"/>
    </sheetView>
  </sheetViews>
  <sheetFormatPr defaultColWidth="9" defaultRowHeight="15" customHeight="1"/>
  <cols>
    <col min="1" max="1" width="9.77734375" style="17" hidden="1" customWidth="1"/>
    <col min="2" max="2" width="11.88671875" style="17" customWidth="1"/>
    <col min="3" max="3" width="20.21875" style="17" customWidth="1"/>
    <col min="4" max="4" width="14.88671875" style="17" customWidth="1"/>
    <col min="5" max="5" width="6.77734375" style="17" hidden="1" customWidth="1"/>
    <col min="6" max="6" width="9.33203125" style="17" hidden="1" customWidth="1"/>
    <col min="7" max="7" width="11.44140625" style="17" customWidth="1"/>
    <col min="8" max="8" width="16" style="17" customWidth="1"/>
    <col min="9" max="9" width="19.6640625" style="17" customWidth="1"/>
    <col min="10" max="10" width="8.6640625" style="17" customWidth="1"/>
    <col min="11" max="11" width="31.44140625" style="17" customWidth="1"/>
    <col min="12" max="12" width="15.21875" style="17" hidden="1" customWidth="1"/>
    <col min="13" max="13" width="9" style="17" customWidth="1"/>
    <col min="14" max="14" width="43" style="17" customWidth="1"/>
    <col min="15" max="15" width="33.44140625" style="17" customWidth="1"/>
    <col min="16" max="16" width="11.44140625" style="17" customWidth="1"/>
    <col min="17" max="17" width="13.21875" style="17" customWidth="1"/>
    <col min="18" max="18" width="9.6640625" style="17" bestFit="1" customWidth="1"/>
    <col min="19" max="19" width="21.44140625" style="17" customWidth="1"/>
    <col min="20" max="20" width="12.88671875" style="17" customWidth="1"/>
    <col min="21" max="23" width="9" style="17" customWidth="1"/>
    <col min="24" max="24" width="21.44140625" style="17" customWidth="1"/>
    <col min="25" max="25" width="11.109375" style="17" customWidth="1"/>
    <col min="26" max="26" width="10.44140625" style="17" customWidth="1"/>
    <col min="27" max="27" width="16.88671875" style="17" customWidth="1"/>
    <col min="28" max="28" width="23.44140625" style="17" customWidth="1"/>
    <col min="29" max="29" width="13.44140625" style="17" customWidth="1"/>
    <col min="30" max="30" width="9" style="17" customWidth="1"/>
    <col min="31" max="31" width="11.44140625" style="17" customWidth="1"/>
    <col min="32" max="33" width="11" style="17" hidden="1" customWidth="1"/>
    <col min="34" max="34" width="11" style="17" customWidth="1"/>
    <col min="35" max="35" width="11.21875" style="17" customWidth="1"/>
    <col min="36" max="36" width="11.6640625" style="17" customWidth="1"/>
    <col min="37" max="37" width="15.109375" style="17" customWidth="1"/>
    <col min="38" max="38" width="15.44140625" style="17" customWidth="1"/>
    <col min="39" max="39" width="20.44140625" style="17" customWidth="1"/>
    <col min="40" max="40" width="11.21875" style="17" customWidth="1"/>
    <col min="41" max="42" width="11" style="17" customWidth="1"/>
    <col min="43" max="43" width="14.44140625" style="17" customWidth="1"/>
    <col min="44" max="47" width="11" style="17" customWidth="1"/>
    <col min="48" max="48" width="12.6640625" style="17" customWidth="1"/>
    <col min="49" max="49" width="12.44140625" style="17" hidden="1" customWidth="1"/>
    <col min="50" max="50" width="14" style="17" hidden="1" customWidth="1"/>
    <col min="51" max="51" width="11" style="17" hidden="1" customWidth="1"/>
    <col min="52" max="52" width="11.44140625" style="17" hidden="1" customWidth="1"/>
    <col min="53" max="53" width="11.21875" style="17" hidden="1" customWidth="1"/>
    <col min="54" max="54" width="11" style="17" hidden="1" customWidth="1"/>
    <col min="55" max="55" width="12.44140625" style="17" hidden="1" customWidth="1"/>
    <col min="56" max="56" width="15.21875" style="17" hidden="1" customWidth="1"/>
    <col min="57" max="57" width="12.88671875" style="17" hidden="1" customWidth="1"/>
    <col min="58" max="59" width="11" style="17" hidden="1" customWidth="1"/>
    <col min="60" max="60" width="12.44140625" style="17" hidden="1" customWidth="1"/>
    <col min="61" max="63" width="11" style="17" hidden="1" customWidth="1"/>
    <col min="64" max="64" width="25.21875" style="17" hidden="1" customWidth="1"/>
    <col min="65" max="65" width="13.6640625" style="17" hidden="1" customWidth="1"/>
    <col min="66" max="66" width="13.44140625" style="17" hidden="1" customWidth="1"/>
    <col min="67" max="68" width="11.6640625" style="17" hidden="1" customWidth="1"/>
    <col min="69" max="69" width="11.21875" style="17" hidden="1" customWidth="1"/>
    <col min="70" max="70" width="10" style="17" hidden="1" customWidth="1"/>
    <col min="71" max="74" width="9" style="17" hidden="1" customWidth="1"/>
    <col min="75" max="75" width="11.44140625" style="17" hidden="1" customWidth="1"/>
    <col min="76" max="76" width="9" style="17" hidden="1" customWidth="1"/>
    <col min="77" max="77" width="10.88671875" style="17" hidden="1" customWidth="1"/>
    <col min="78" max="78" width="8.44140625" style="17" hidden="1" customWidth="1"/>
    <col min="79" max="81" width="10.44140625" style="17" hidden="1" customWidth="1"/>
    <col min="82" max="99" width="9.88671875" style="17" hidden="1" customWidth="1"/>
    <col min="100" max="100" width="13.6640625" style="17" hidden="1" customWidth="1"/>
    <col min="101" max="132" width="9" style="17" customWidth="1"/>
    <col min="133" max="133" width="38.6640625" style="17" customWidth="1"/>
    <col min="134" max="16384" width="9" style="17"/>
  </cols>
  <sheetData>
    <row r="1" spans="1:100" ht="18" customHeight="1" thickBot="1">
      <c r="A1" s="14"/>
      <c r="B1" s="19" t="s">
        <v>799</v>
      </c>
      <c r="C1" s="13" t="s">
        <v>568</v>
      </c>
      <c r="D1" s="24" t="e">
        <f>VLOOKUP(C1,vesseldata,3,FALSE)</f>
        <v>#N/A</v>
      </c>
      <c r="E1" s="14"/>
      <c r="F1" s="14"/>
      <c r="G1" s="14"/>
      <c r="H1" s="16" t="s">
        <v>296</v>
      </c>
      <c r="I1" s="10">
        <v>44464.803206018521</v>
      </c>
      <c r="J1" s="14"/>
      <c r="K1" s="10" t="s">
        <v>1094</v>
      </c>
      <c r="L1" s="14"/>
      <c r="M1" s="14" t="s">
        <v>1093</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c r="A2" s="14"/>
      <c r="B2" s="15" t="s">
        <v>297</v>
      </c>
      <c r="C2" s="80" t="e">
        <f>VLOOKUP($C$1,vesseldata,4,FALSE)</f>
        <v>#N/A</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c r="A3" s="14"/>
      <c r="B3" s="15" t="s">
        <v>298</v>
      </c>
      <c r="C3" s="24">
        <f ca="1">TODAY()</f>
        <v>44596</v>
      </c>
      <c r="D3" s="14"/>
      <c r="E3" s="14"/>
      <c r="F3" s="14"/>
      <c r="G3" s="14"/>
      <c r="H3" s="16" t="s">
        <v>299</v>
      </c>
      <c r="I3" s="10"/>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c r="A4" s="14"/>
      <c r="B4" s="15" t="s">
        <v>300</v>
      </c>
      <c r="C4" s="20"/>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c r="A5" s="14"/>
      <c r="B5" s="77" t="s">
        <v>481</v>
      </c>
      <c r="C5" s="79" t="e">
        <f>VLOOKUP($C$1,vesseldata,2,FALSE)</f>
        <v>#N/A</v>
      </c>
      <c r="D5" s="14"/>
      <c r="E5" s="14"/>
      <c r="F5" s="14"/>
      <c r="G5" s="14"/>
      <c r="H5" s="14"/>
      <c r="I5" s="14"/>
      <c r="J5" s="14"/>
      <c r="K5" s="76"/>
      <c r="L5" s="76"/>
      <c r="M5" s="76"/>
      <c r="N5" s="76"/>
      <c r="O5" s="14"/>
      <c r="P5" s="14"/>
      <c r="Q5" s="14"/>
      <c r="R5" s="14"/>
      <c r="S5" s="14"/>
      <c r="T5" s="14"/>
      <c r="U5" s="14"/>
      <c r="V5" s="14"/>
      <c r="W5" s="14"/>
      <c r="X5" s="112" t="s">
        <v>301</v>
      </c>
      <c r="Y5" s="113"/>
      <c r="Z5" s="113"/>
      <c r="AA5" s="113"/>
      <c r="AB5" s="113"/>
      <c r="AC5" s="113"/>
      <c r="AD5" s="113"/>
      <c r="AE5" s="114"/>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7" customFormat="1" ht="24.75" customHeight="1">
      <c r="A6" s="81" t="s">
        <v>302</v>
      </c>
      <c r="B6" s="81" t="s">
        <v>303</v>
      </c>
      <c r="C6" s="81" t="s">
        <v>304</v>
      </c>
      <c r="D6" s="81" t="s">
        <v>305</v>
      </c>
      <c r="E6" s="81" t="s">
        <v>497</v>
      </c>
      <c r="F6" s="81" t="s">
        <v>498</v>
      </c>
      <c r="G6" s="81" t="s">
        <v>306</v>
      </c>
      <c r="H6" s="81" t="s">
        <v>307</v>
      </c>
      <c r="I6" s="81" t="s">
        <v>308</v>
      </c>
      <c r="J6" s="81" t="s">
        <v>500</v>
      </c>
      <c r="K6" s="81" t="s">
        <v>309</v>
      </c>
      <c r="L6" s="81" t="s">
        <v>891</v>
      </c>
      <c r="M6" s="82" t="s">
        <v>954</v>
      </c>
      <c r="N6" s="81" t="s">
        <v>311</v>
      </c>
      <c r="O6" s="81" t="s">
        <v>312</v>
      </c>
      <c r="P6" s="81" t="s">
        <v>313</v>
      </c>
      <c r="Q6" s="81" t="s">
        <v>314</v>
      </c>
      <c r="R6" s="81" t="s">
        <v>315</v>
      </c>
      <c r="S6" s="81" t="s">
        <v>316</v>
      </c>
      <c r="T6" s="81" t="s">
        <v>317</v>
      </c>
      <c r="U6" s="81" t="s">
        <v>318</v>
      </c>
      <c r="V6" s="81" t="s">
        <v>319</v>
      </c>
      <c r="W6" s="81" t="s">
        <v>320</v>
      </c>
      <c r="X6" s="83" t="s">
        <v>321</v>
      </c>
      <c r="Y6" s="83" t="s">
        <v>322</v>
      </c>
      <c r="Z6" s="83" t="s">
        <v>893</v>
      </c>
      <c r="AA6" s="83" t="s">
        <v>323</v>
      </c>
      <c r="AB6" s="83" t="s">
        <v>324</v>
      </c>
      <c r="AC6" s="83" t="s">
        <v>325</v>
      </c>
      <c r="AD6" s="83" t="s">
        <v>326</v>
      </c>
      <c r="AE6" s="83" t="s">
        <v>955</v>
      </c>
      <c r="AF6" s="84" t="s">
        <v>499</v>
      </c>
      <c r="AG6" s="84" t="s">
        <v>892</v>
      </c>
      <c r="AH6" s="85" t="s">
        <v>890</v>
      </c>
      <c r="AI6" s="85" t="s">
        <v>482</v>
      </c>
      <c r="AJ6" s="85" t="s">
        <v>508</v>
      </c>
      <c r="AK6" s="85" t="s">
        <v>483</v>
      </c>
      <c r="AL6" s="85" t="s">
        <v>490</v>
      </c>
      <c r="AM6" s="85" t="s">
        <v>489</v>
      </c>
      <c r="AN6" s="85" t="s">
        <v>484</v>
      </c>
      <c r="AO6" s="85" t="s">
        <v>485</v>
      </c>
      <c r="AP6" s="85" t="s">
        <v>486</v>
      </c>
      <c r="AQ6" s="85" t="s">
        <v>487</v>
      </c>
      <c r="AR6" s="85" t="s">
        <v>488</v>
      </c>
      <c r="AS6" s="85" t="s">
        <v>342</v>
      </c>
      <c r="AT6" s="85" t="s">
        <v>492</v>
      </c>
      <c r="AU6" s="85" t="s">
        <v>491</v>
      </c>
      <c r="AV6" s="85" t="s">
        <v>493</v>
      </c>
      <c r="AW6" s="85" t="s">
        <v>494</v>
      </c>
      <c r="AX6" s="85" t="s">
        <v>495</v>
      </c>
      <c r="AY6" s="85" t="s">
        <v>496</v>
      </c>
      <c r="AZ6" s="85" t="s">
        <v>501</v>
      </c>
      <c r="BA6" s="85" t="s">
        <v>895</v>
      </c>
      <c r="BB6" s="85" t="s">
        <v>754</v>
      </c>
      <c r="BC6" s="85" t="s">
        <v>502</v>
      </c>
      <c r="BD6" s="85" t="s">
        <v>504</v>
      </c>
      <c r="BE6" s="85" t="s">
        <v>503</v>
      </c>
      <c r="BF6" s="85" t="s">
        <v>506</v>
      </c>
      <c r="BG6" s="85" t="s">
        <v>507</v>
      </c>
      <c r="BH6" s="85" t="s">
        <v>509</v>
      </c>
      <c r="BI6" s="85" t="s">
        <v>570</v>
      </c>
      <c r="BJ6" s="85" t="s">
        <v>585</v>
      </c>
      <c r="BK6" s="85" t="s">
        <v>626</v>
      </c>
      <c r="BL6" s="85" t="s">
        <v>855</v>
      </c>
      <c r="BM6" s="85" t="s">
        <v>856</v>
      </c>
      <c r="BN6" s="85" t="s">
        <v>880</v>
      </c>
      <c r="BO6" s="85" t="s">
        <v>881</v>
      </c>
      <c r="BP6" s="85" t="s">
        <v>961</v>
      </c>
      <c r="BQ6" s="85" t="s">
        <v>882</v>
      </c>
      <c r="BR6" s="85" t="s">
        <v>883</v>
      </c>
      <c r="BS6" s="85" t="s">
        <v>884</v>
      </c>
      <c r="BT6" s="85" t="s">
        <v>885</v>
      </c>
      <c r="BU6" s="85" t="s">
        <v>960</v>
      </c>
      <c r="BV6" s="85" t="s">
        <v>886</v>
      </c>
      <c r="BW6" s="85" t="s">
        <v>887</v>
      </c>
      <c r="BX6" s="85" t="s">
        <v>889</v>
      </c>
      <c r="BY6" s="85" t="s">
        <v>888</v>
      </c>
      <c r="BZ6" s="85" t="s">
        <v>860</v>
      </c>
      <c r="CA6" s="85" t="s">
        <v>861</v>
      </c>
      <c r="CB6" s="85" t="s">
        <v>857</v>
      </c>
      <c r="CC6" s="86" t="s">
        <v>859</v>
      </c>
      <c r="CD6" s="85" t="s">
        <v>862</v>
      </c>
      <c r="CE6" s="85" t="s">
        <v>863</v>
      </c>
      <c r="CF6" s="85" t="s">
        <v>864</v>
      </c>
      <c r="CG6" s="85" t="s">
        <v>865</v>
      </c>
      <c r="CH6" s="85" t="s">
        <v>866</v>
      </c>
      <c r="CI6" s="85" t="s">
        <v>867</v>
      </c>
      <c r="CJ6" s="85" t="s">
        <v>868</v>
      </c>
      <c r="CK6" s="85" t="s">
        <v>869</v>
      </c>
      <c r="CL6" s="85" t="s">
        <v>870</v>
      </c>
      <c r="CM6" s="85" t="s">
        <v>871</v>
      </c>
      <c r="CN6" s="85" t="s">
        <v>858</v>
      </c>
      <c r="CO6" s="85" t="s">
        <v>872</v>
      </c>
      <c r="CP6" s="85" t="s">
        <v>873</v>
      </c>
      <c r="CQ6" s="85" t="s">
        <v>874</v>
      </c>
      <c r="CR6" s="85" t="s">
        <v>875</v>
      </c>
      <c r="CS6" s="85" t="s">
        <v>876</v>
      </c>
      <c r="CT6" s="85" t="s">
        <v>877</v>
      </c>
      <c r="CU6" s="85" t="s">
        <v>878</v>
      </c>
      <c r="CV6" s="87" t="s">
        <v>879</v>
      </c>
    </row>
    <row r="7" spans="1:100" ht="15" hidden="1" customHeight="1">
      <c r="A7" s="88" t="s">
        <v>568</v>
      </c>
      <c r="B7" s="89"/>
      <c r="C7" s="88"/>
      <c r="D7" s="88"/>
      <c r="E7" s="104" t="str">
        <f>LEFT(D7,1)&amp;"moge"</f>
        <v>moge</v>
      </c>
      <c r="F7" s="88" t="str">
        <f>LEFT(D7,1)&amp;"hoge"</f>
        <v>hoge</v>
      </c>
      <c r="G7" s="88"/>
      <c r="H7" s="88"/>
      <c r="I7" s="88"/>
      <c r="J7" s="88" t="str">
        <f>LEFT(I7,3)</f>
        <v/>
      </c>
      <c r="K7" s="88"/>
      <c r="L7" s="88" t="str">
        <f>LEFT(K7,5)</f>
        <v/>
      </c>
      <c r="M7" s="104" t="s">
        <v>346</v>
      </c>
      <c r="N7" s="88"/>
      <c r="O7" s="88"/>
      <c r="P7" s="88"/>
      <c r="Q7" s="89"/>
      <c r="R7" s="89"/>
      <c r="S7" s="88"/>
      <c r="T7" s="89"/>
      <c r="U7" s="90" t="s">
        <v>295</v>
      </c>
      <c r="V7" s="90" t="s">
        <v>295</v>
      </c>
      <c r="W7" s="91" t="s">
        <v>262</v>
      </c>
      <c r="X7" s="88"/>
      <c r="Y7" s="88"/>
      <c r="Z7" s="88"/>
      <c r="AA7" s="88"/>
      <c r="AB7" s="88"/>
      <c r="AC7" s="89"/>
      <c r="AD7" s="88" t="s">
        <v>261</v>
      </c>
      <c r="AE7" s="88"/>
      <c r="AF7" s="88"/>
      <c r="AG7" s="88" t="s">
        <v>0</v>
      </c>
      <c r="AH7" s="91" t="s">
        <v>972</v>
      </c>
      <c r="AI7" s="91" t="b">
        <v>0</v>
      </c>
      <c r="AJ7" s="91"/>
      <c r="AK7" s="91" t="b">
        <v>0</v>
      </c>
      <c r="AL7" s="91"/>
      <c r="AM7" s="91" t="b">
        <v>0</v>
      </c>
      <c r="AN7" s="91" t="b">
        <v>0</v>
      </c>
      <c r="AO7" s="91" t="b">
        <v>0</v>
      </c>
      <c r="AP7" s="91" t="b">
        <v>0</v>
      </c>
      <c r="AQ7" s="91" t="b">
        <v>0</v>
      </c>
      <c r="AR7" s="91" t="b">
        <v>0</v>
      </c>
      <c r="AS7" s="91" t="b">
        <v>0</v>
      </c>
      <c r="AT7" s="103"/>
      <c r="AU7" s="92" t="e">
        <f>$C$5</f>
        <v>#N/A</v>
      </c>
      <c r="AV7" s="88" t="str">
        <f>$C$1</f>
        <v/>
      </c>
      <c r="AW7" s="104" t="e">
        <f>$C$2</f>
        <v>#N/A</v>
      </c>
      <c r="AX7" s="89">
        <f ca="1">$C$3</f>
        <v>44596</v>
      </c>
      <c r="AY7" s="104">
        <f>$C$4</f>
        <v>0</v>
      </c>
      <c r="AZ7" s="88"/>
      <c r="BA7" s="88"/>
      <c r="BB7" s="88"/>
      <c r="BC7" s="88"/>
      <c r="BD7" s="88"/>
      <c r="BE7" s="88"/>
      <c r="BF7" s="88"/>
      <c r="BG7" s="89"/>
      <c r="BH7" s="91" t="b">
        <v>0</v>
      </c>
      <c r="BI7" s="88"/>
      <c r="BJ7" s="88"/>
      <c r="BK7" s="88"/>
      <c r="BL7" s="88"/>
      <c r="BM7" s="88"/>
      <c r="BN7" s="88"/>
      <c r="BO7" s="88"/>
      <c r="BP7" s="88"/>
      <c r="BQ7" s="88"/>
      <c r="BR7" s="93"/>
      <c r="BS7" s="88"/>
      <c r="BT7" s="88"/>
      <c r="BU7" s="88"/>
      <c r="BV7" s="88"/>
      <c r="BW7" s="88"/>
      <c r="BX7" s="88"/>
      <c r="BY7" s="88"/>
      <c r="BZ7" s="88"/>
      <c r="CA7" s="88"/>
      <c r="CB7" s="88"/>
      <c r="CC7" s="89"/>
      <c r="CD7" s="88"/>
      <c r="CE7" s="89"/>
      <c r="CF7" s="88"/>
      <c r="CG7" s="89"/>
      <c r="CH7" s="88"/>
      <c r="CI7" s="89"/>
      <c r="CJ7" s="88"/>
      <c r="CK7" s="89"/>
      <c r="CL7" s="88"/>
      <c r="CM7" s="89"/>
      <c r="CN7" s="94"/>
      <c r="CO7" s="89"/>
      <c r="CP7" s="88"/>
      <c r="CQ7" s="88"/>
      <c r="CR7" s="88"/>
      <c r="CS7" s="88"/>
      <c r="CT7" s="89"/>
      <c r="CU7" s="88"/>
      <c r="CV7" s="95"/>
    </row>
    <row r="8" spans="1:100" ht="15" customHeight="1">
      <c r="A8" s="105" t="s">
        <v>1060</v>
      </c>
      <c r="AG8" s="14"/>
      <c r="AH8" s="12"/>
      <c r="AI8" s="12"/>
      <c r="AJ8" s="12"/>
      <c r="AK8" s="12"/>
      <c r="AL8" s="12"/>
      <c r="AM8" s="12"/>
      <c r="AN8" s="12"/>
      <c r="AO8" s="12"/>
      <c r="AP8" s="12"/>
      <c r="AQ8" s="12"/>
      <c r="AR8" s="12"/>
      <c r="AS8" s="12"/>
      <c r="AT8" s="12"/>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row>
  </sheetData>
  <sheetProtection algorithmName="SHA-512" hashValue="QGxdvSAtnYxqZbYZZcemRWj7cIqbSA1X/6MrbIL15WmTXVmjvLzSdAo6Hv2KFWN+Mbqh04j9g/sYpbDC5lvdBw==" saltValue="1GH+OtnOSuuoS2MFoV0a5w=="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1630680</xdr:colOff>
                <xdr:row>1</xdr:row>
                <xdr:rowOff>60960</xdr:rowOff>
              </from>
              <to>
                <xdr:col>13</xdr:col>
                <xdr:colOff>327660</xdr:colOff>
                <xdr:row>2</xdr:row>
                <xdr:rowOff>190500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22860</xdr:colOff>
                <xdr:row>3</xdr:row>
                <xdr:rowOff>38100</xdr:rowOff>
              </from>
              <to>
                <xdr:col>10</xdr:col>
                <xdr:colOff>1592580</xdr:colOff>
                <xdr:row>4</xdr:row>
                <xdr:rowOff>198120</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30480</xdr:rowOff>
              </from>
              <to>
                <xdr:col>13</xdr:col>
                <xdr:colOff>335280</xdr:colOff>
                <xdr:row>4</xdr:row>
                <xdr:rowOff>160020</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22860</xdr:colOff>
                <xdr:row>1</xdr:row>
                <xdr:rowOff>60960</xdr:rowOff>
              </from>
              <to>
                <xdr:col>10</xdr:col>
                <xdr:colOff>1546860</xdr:colOff>
                <xdr:row>2</xdr:row>
                <xdr:rowOff>198120</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22860</xdr:colOff>
                <xdr:row>0</xdr:row>
                <xdr:rowOff>0</xdr:rowOff>
              </from>
              <to>
                <xdr:col>3</xdr:col>
                <xdr:colOff>30480</xdr:colOff>
                <xdr:row>0</xdr:row>
                <xdr:rowOff>220980</xdr:rowOff>
              </to>
            </anchor>
          </controlPr>
        </control>
      </mc:Choice>
      <mc:Fallback>
        <control shapeId="8299" r:id="rId12"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2"/>
  <cols>
    <col min="1" max="1" width="24.77734375" bestFit="1" customWidth="1"/>
    <col min="2" max="2" width="11" bestFit="1" customWidth="1"/>
    <col min="17" max="17" width="10.88671875" bestFit="1" customWidth="1"/>
    <col min="18" max="18" width="11.44140625" customWidth="1"/>
    <col min="20" max="20" width="12.21875" customWidth="1"/>
    <col min="29" max="29" width="10.88671875" bestFit="1" customWidth="1"/>
    <col min="50" max="50" width="10.88671875" bestFit="1" customWidth="1"/>
    <col min="59" max="59" width="10.88671875" bestFit="1" customWidth="1"/>
    <col min="81" max="81" width="10.88671875" bestFit="1" customWidth="1"/>
    <col min="83" max="83" width="10.88671875" bestFit="1" customWidth="1"/>
    <col min="85" max="85" width="10.88671875" bestFit="1" customWidth="1"/>
    <col min="87" max="87" width="10.88671875" bestFit="1" customWidth="1"/>
    <col min="89" max="89" width="10.88671875" bestFit="1" customWidth="1"/>
    <col min="91" max="91" width="10.88671875" bestFit="1" customWidth="1"/>
    <col min="93" max="93" width="10.88671875" bestFit="1" customWidth="1"/>
    <col min="98" max="98" width="10.88671875" bestFit="1" customWidth="1"/>
    <col min="100" max="100" width="10.88671875" bestFit="1" customWidth="1"/>
  </cols>
  <sheetData>
    <row r="1" spans="1:100" ht="41.4">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4140625" defaultRowHeight="15" customHeight="1"/>
  <cols>
    <col min="1" max="1" width="12.44140625" style="52" customWidth="1"/>
    <col min="2" max="2" width="27" style="53" customWidth="1"/>
    <col min="3" max="5" width="23.109375" style="53" customWidth="1"/>
    <col min="6" max="6" width="16.6640625" style="53" customWidth="1"/>
    <col min="7" max="7" width="24.6640625" style="53" customWidth="1"/>
    <col min="8" max="8" width="16.44140625" style="53" customWidth="1"/>
    <col min="9" max="9" width="12.21875" style="124" customWidth="1"/>
    <col min="10" max="16384" width="9.44140625" style="53"/>
  </cols>
  <sheetData>
    <row r="1" spans="1:10" ht="28.8">
      <c r="A1" s="102" t="s">
        <v>1042</v>
      </c>
      <c r="B1" s="102" t="s">
        <v>1031</v>
      </c>
      <c r="C1" s="102" t="s">
        <v>1032</v>
      </c>
      <c r="D1" s="102" t="s">
        <v>1038</v>
      </c>
      <c r="E1" s="102" t="s">
        <v>1037</v>
      </c>
      <c r="F1" s="102" t="s">
        <v>1036</v>
      </c>
      <c r="G1" s="102" t="s">
        <v>1033</v>
      </c>
      <c r="H1" s="102" t="s">
        <v>1034</v>
      </c>
      <c r="I1" s="102" t="s">
        <v>1035</v>
      </c>
    </row>
    <row r="2" spans="1:10" ht="72">
      <c r="A2" s="101" t="s">
        <v>992</v>
      </c>
      <c r="B2" s="101" t="s">
        <v>993</v>
      </c>
      <c r="C2" s="101" t="s">
        <v>994</v>
      </c>
      <c r="D2" s="100" t="s">
        <v>1039</v>
      </c>
      <c r="E2" s="100" t="s">
        <v>1040</v>
      </c>
      <c r="F2" s="101" t="s">
        <v>995</v>
      </c>
      <c r="G2" s="101" t="s">
        <v>996</v>
      </c>
      <c r="H2" s="101" t="s">
        <v>997</v>
      </c>
      <c r="I2" s="122" t="s">
        <v>998</v>
      </c>
    </row>
    <row r="3" spans="1:10" ht="115.2">
      <c r="A3" s="101" t="s">
        <v>999</v>
      </c>
      <c r="B3" s="101" t="s">
        <v>1000</v>
      </c>
      <c r="C3" s="101" t="s">
        <v>1001</v>
      </c>
      <c r="D3" s="100" t="s">
        <v>1021</v>
      </c>
      <c r="E3" s="101" t="s">
        <v>1002</v>
      </c>
      <c r="F3" s="100" t="s">
        <v>1022</v>
      </c>
      <c r="G3" s="101" t="s">
        <v>996</v>
      </c>
      <c r="H3" s="100" t="s">
        <v>1023</v>
      </c>
      <c r="I3" s="122" t="s">
        <v>998</v>
      </c>
    </row>
    <row r="4" spans="1:10" ht="86.4">
      <c r="A4" s="101" t="s">
        <v>1003</v>
      </c>
      <c r="B4" s="100" t="s">
        <v>1024</v>
      </c>
      <c r="C4" s="101" t="s">
        <v>1004</v>
      </c>
      <c r="D4" s="100" t="s">
        <v>1041</v>
      </c>
      <c r="E4" s="100" t="s">
        <v>1025</v>
      </c>
      <c r="F4" s="100" t="s">
        <v>1026</v>
      </c>
      <c r="G4" s="101" t="s">
        <v>1005</v>
      </c>
      <c r="H4" s="100" t="s">
        <v>1027</v>
      </c>
      <c r="I4" s="122" t="s">
        <v>1006</v>
      </c>
    </row>
    <row r="5" spans="1:10" ht="100.8">
      <c r="A5" s="101" t="s">
        <v>1007</v>
      </c>
      <c r="B5" s="101" t="s">
        <v>1008</v>
      </c>
      <c r="C5" s="100" t="s">
        <v>1028</v>
      </c>
      <c r="D5" s="100" t="s">
        <v>1019</v>
      </c>
      <c r="E5" s="100" t="s">
        <v>1029</v>
      </c>
      <c r="F5" s="100" t="s">
        <v>1020</v>
      </c>
      <c r="G5" s="101" t="s">
        <v>1009</v>
      </c>
      <c r="H5" s="101" t="s">
        <v>1010</v>
      </c>
      <c r="I5" s="122" t="s">
        <v>1011</v>
      </c>
    </row>
    <row r="6" spans="1:10" ht="43.2">
      <c r="A6" s="101" t="s">
        <v>1012</v>
      </c>
      <c r="B6" s="101" t="s">
        <v>1013</v>
      </c>
      <c r="C6" s="101" t="s">
        <v>1014</v>
      </c>
      <c r="D6" s="100" t="s">
        <v>1030</v>
      </c>
      <c r="E6" s="101" t="s">
        <v>1015</v>
      </c>
      <c r="F6" s="101" t="s">
        <v>1016</v>
      </c>
      <c r="G6" s="101" t="s">
        <v>1017</v>
      </c>
      <c r="H6" s="101" t="s">
        <v>1010</v>
      </c>
      <c r="I6" s="122" t="s">
        <v>1018</v>
      </c>
    </row>
    <row r="7" spans="1:10" ht="15" customHeight="1">
      <c r="B7" s="99"/>
      <c r="C7" s="99"/>
      <c r="D7" s="99"/>
      <c r="E7" s="99"/>
      <c r="F7" s="99"/>
      <c r="G7" s="99"/>
      <c r="H7" s="99"/>
      <c r="I7" s="123"/>
      <c r="J7" s="9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25" workbookViewId="0">
      <selection activeCell="S34" sqref="S34"/>
    </sheetView>
  </sheetViews>
  <sheetFormatPr defaultColWidth="9" defaultRowHeight="13.8"/>
  <cols>
    <col min="1" max="2" width="9" style="14"/>
    <col min="3" max="3" width="12.44140625" style="14" customWidth="1"/>
    <col min="4" max="4" width="11.109375" style="14" bestFit="1" customWidth="1"/>
    <col min="5" max="6" width="9" style="14"/>
    <col min="7" max="7" width="22" style="14" bestFit="1" customWidth="1"/>
    <col min="8" max="8" width="7.88671875" style="14" customWidth="1"/>
    <col min="9" max="9" width="40.21875" style="14" bestFit="1" customWidth="1"/>
    <col min="10" max="10" width="9" style="14"/>
    <col min="11" max="11" width="47.88671875" style="14" bestFit="1" customWidth="1"/>
    <col min="12" max="12" width="9" style="14"/>
    <col min="13" max="13" width="14.109375" style="14" bestFit="1" customWidth="1"/>
    <col min="14" max="14" width="21.6640625" style="14" customWidth="1"/>
    <col min="15" max="15" width="11.88671875" style="14" customWidth="1"/>
    <col min="16" max="16" width="10.109375" style="14" customWidth="1"/>
    <col min="17" max="17" width="11.44140625" style="14" customWidth="1"/>
    <col min="18" max="26" width="9" style="14"/>
    <col min="27" max="27" width="19.44140625" style="14" customWidth="1"/>
    <col min="28" max="36" width="9" style="14"/>
    <col min="37" max="37" width="36.109375" style="14" bestFit="1" customWidth="1"/>
    <col min="38" max="38" width="9.88671875" style="14" customWidth="1"/>
    <col min="39" max="39" width="17.21875" style="14" customWidth="1"/>
    <col min="40" max="42" width="9" style="14"/>
    <col min="43" max="43" width="12.44140625" style="14" customWidth="1"/>
    <col min="44" max="44" width="9" style="14"/>
    <col min="45" max="45" width="12.88671875" style="14" customWidth="1"/>
    <col min="46" max="49" width="9" style="14"/>
    <col min="50" max="50" width="28.88671875" style="14" customWidth="1"/>
    <col min="51" max="51" width="16.6640625" style="14" customWidth="1"/>
    <col min="52" max="16384" width="9" style="14"/>
  </cols>
  <sheetData>
    <row r="1" spans="1:54" s="27" customFormat="1" ht="82.5" customHeight="1" thickBot="1">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6" t="s">
        <v>966</v>
      </c>
    </row>
    <row r="3" spans="1:54" ht="16.5" customHeight="1" thickBot="1">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6" t="s">
        <v>1095</v>
      </c>
    </row>
    <row r="4" spans="1:54" ht="15" thickBot="1">
      <c r="B4" s="106" t="s">
        <v>350</v>
      </c>
      <c r="C4" s="14" t="s">
        <v>351</v>
      </c>
      <c r="D4" s="32" t="s">
        <v>352</v>
      </c>
      <c r="E4" s="34"/>
      <c r="F4" s="34"/>
      <c r="G4" s="29" t="s">
        <v>353</v>
      </c>
      <c r="I4" s="32" t="s">
        <v>354</v>
      </c>
      <c r="J4" s="34"/>
      <c r="K4" s="29" t="s">
        <v>27</v>
      </c>
      <c r="L4" s="30"/>
      <c r="N4" s="108" t="s">
        <v>956</v>
      </c>
      <c r="O4" s="115" t="s">
        <v>957</v>
      </c>
      <c r="P4" s="115" t="s">
        <v>958</v>
      </c>
      <c r="Q4" s="116" t="s">
        <v>959</v>
      </c>
      <c r="W4" s="14" t="s">
        <v>355</v>
      </c>
      <c r="AA4" s="8" t="s">
        <v>3</v>
      </c>
      <c r="AB4" s="9"/>
      <c r="AH4" s="28" t="s">
        <v>575</v>
      </c>
      <c r="AK4" s="29" t="s">
        <v>27</v>
      </c>
      <c r="AM4" s="14" t="s">
        <v>632</v>
      </c>
      <c r="AN4" s="14" t="s">
        <v>631</v>
      </c>
      <c r="AQ4" s="14" t="s">
        <v>764</v>
      </c>
      <c r="AS4" s="29" t="s">
        <v>370</v>
      </c>
      <c r="AU4" s="14" t="s">
        <v>807</v>
      </c>
      <c r="AX4" s="14" t="s">
        <v>843</v>
      </c>
      <c r="AY4" s="33">
        <v>3</v>
      </c>
    </row>
    <row r="5" spans="1:54" ht="15" thickBot="1">
      <c r="B5" s="106" t="s">
        <v>356</v>
      </c>
      <c r="C5" s="14" t="s">
        <v>357</v>
      </c>
      <c r="D5" s="35" t="s">
        <v>358</v>
      </c>
      <c r="G5" s="29" t="s">
        <v>359</v>
      </c>
      <c r="I5" s="35" t="s">
        <v>360</v>
      </c>
      <c r="J5" s="34"/>
      <c r="K5" s="29" t="s">
        <v>755</v>
      </c>
      <c r="L5" s="30"/>
      <c r="N5" s="108" t="s">
        <v>628</v>
      </c>
      <c r="O5" s="115">
        <v>9655420</v>
      </c>
      <c r="P5" s="115" t="s">
        <v>627</v>
      </c>
      <c r="Q5" s="115" t="s">
        <v>911</v>
      </c>
      <c r="AA5" s="8" t="s">
        <v>804</v>
      </c>
      <c r="AB5" s="9"/>
      <c r="AH5" s="28" t="s">
        <v>572</v>
      </c>
      <c r="AK5" s="29" t="s">
        <v>800</v>
      </c>
      <c r="AM5" s="14" t="s">
        <v>677</v>
      </c>
      <c r="AN5" s="14" t="s">
        <v>676</v>
      </c>
      <c r="AQ5" s="14" t="s">
        <v>766</v>
      </c>
      <c r="AS5" s="29" t="s">
        <v>362</v>
      </c>
      <c r="AU5" s="14" t="s">
        <v>808</v>
      </c>
      <c r="AX5" s="14" t="s">
        <v>844</v>
      </c>
      <c r="AY5" s="36">
        <v>2</v>
      </c>
    </row>
    <row r="6" spans="1:54" s="45" customFormat="1" ht="28.8" thickBot="1">
      <c r="B6" s="107" t="s">
        <v>263</v>
      </c>
      <c r="C6" s="45" t="s">
        <v>264</v>
      </c>
      <c r="D6" s="46" t="s">
        <v>361</v>
      </c>
      <c r="G6" s="47" t="s">
        <v>362</v>
      </c>
      <c r="I6" s="46" t="s">
        <v>363</v>
      </c>
      <c r="J6" s="48"/>
      <c r="K6" s="47" t="s">
        <v>28</v>
      </c>
      <c r="L6" s="49"/>
      <c r="N6" s="108" t="s">
        <v>630</v>
      </c>
      <c r="O6" s="117">
        <v>9566473</v>
      </c>
      <c r="P6" s="108" t="s">
        <v>629</v>
      </c>
      <c r="Q6" s="108" t="s">
        <v>909</v>
      </c>
      <c r="AA6" s="50" t="s">
        <v>167</v>
      </c>
      <c r="AB6" s="51"/>
      <c r="AH6" s="45" t="s">
        <v>573</v>
      </c>
      <c r="AK6" s="47" t="s">
        <v>28</v>
      </c>
      <c r="AM6" s="45" t="s">
        <v>679</v>
      </c>
      <c r="AN6" s="45" t="s">
        <v>678</v>
      </c>
      <c r="AQ6" s="45" t="s">
        <v>767</v>
      </c>
      <c r="AS6" s="47" t="s">
        <v>359</v>
      </c>
      <c r="AU6" s="45" t="s">
        <v>809</v>
      </c>
      <c r="AX6" s="45" t="s">
        <v>845</v>
      </c>
      <c r="AY6" s="23">
        <v>1</v>
      </c>
    </row>
    <row r="7" spans="1:54" ht="14.4">
      <c r="B7" s="106" t="s">
        <v>204</v>
      </c>
      <c r="C7" s="14" t="s">
        <v>203</v>
      </c>
      <c r="D7" s="34" t="s">
        <v>364</v>
      </c>
      <c r="G7" s="29" t="s">
        <v>365</v>
      </c>
      <c r="I7" s="38" t="s">
        <v>366</v>
      </c>
      <c r="J7" s="34"/>
      <c r="K7" s="29" t="s">
        <v>29</v>
      </c>
      <c r="L7" s="30"/>
      <c r="N7" s="108" t="s">
        <v>632</v>
      </c>
      <c r="O7" s="108">
        <v>9667746</v>
      </c>
      <c r="P7" s="108" t="s">
        <v>631</v>
      </c>
      <c r="Q7" s="108" t="s">
        <v>910</v>
      </c>
      <c r="AA7" s="8" t="s">
        <v>4</v>
      </c>
      <c r="AB7" s="9"/>
      <c r="AH7" s="28" t="s">
        <v>486</v>
      </c>
      <c r="AK7" s="29" t="s">
        <v>29</v>
      </c>
      <c r="AM7" s="14" t="s">
        <v>711</v>
      </c>
      <c r="AN7" s="14" t="s">
        <v>710</v>
      </c>
      <c r="AQ7" s="45" t="s">
        <v>1057</v>
      </c>
      <c r="AR7" s="45"/>
      <c r="AS7" s="29" t="s">
        <v>370</v>
      </c>
      <c r="AU7" s="14" t="s">
        <v>810</v>
      </c>
      <c r="AX7" s="14" t="s">
        <v>846</v>
      </c>
    </row>
    <row r="8" spans="1:54" ht="14.4">
      <c r="B8" s="106" t="s">
        <v>367</v>
      </c>
      <c r="C8" s="14" t="s">
        <v>281</v>
      </c>
      <c r="D8" s="38" t="s">
        <v>368</v>
      </c>
      <c r="G8" s="29" t="s">
        <v>369</v>
      </c>
      <c r="H8" s="17"/>
      <c r="I8" s="34" t="s">
        <v>7</v>
      </c>
      <c r="J8" s="34"/>
      <c r="K8" s="29" t="s">
        <v>576</v>
      </c>
      <c r="L8" s="30"/>
      <c r="N8" s="108" t="s">
        <v>677</v>
      </c>
      <c r="O8" s="108">
        <v>9372327</v>
      </c>
      <c r="P8" s="108" t="s">
        <v>676</v>
      </c>
      <c r="Q8" s="108" t="s">
        <v>931</v>
      </c>
      <c r="AA8" s="8" t="s">
        <v>5</v>
      </c>
      <c r="AB8" s="9"/>
      <c r="AH8" s="14" t="s">
        <v>571</v>
      </c>
      <c r="AK8" s="29" t="s">
        <v>576</v>
      </c>
      <c r="AM8" s="14" t="s">
        <v>634</v>
      </c>
      <c r="AN8" s="14" t="s">
        <v>633</v>
      </c>
      <c r="AQ8" s="14" t="s">
        <v>769</v>
      </c>
      <c r="AS8" s="29" t="s">
        <v>370</v>
      </c>
      <c r="AU8" s="14" t="s">
        <v>811</v>
      </c>
      <c r="AX8" s="14" t="s">
        <v>847</v>
      </c>
      <c r="BB8" s="14" t="s">
        <v>854</v>
      </c>
    </row>
    <row r="9" spans="1:54" ht="14.4">
      <c r="B9" s="106" t="s">
        <v>265</v>
      </c>
      <c r="C9" s="14" t="s">
        <v>266</v>
      </c>
      <c r="G9" s="29" t="s">
        <v>370</v>
      </c>
      <c r="H9" s="17"/>
      <c r="I9" s="34" t="s">
        <v>581</v>
      </c>
      <c r="J9" s="34"/>
      <c r="K9" s="29" t="s">
        <v>30</v>
      </c>
      <c r="L9" s="30"/>
      <c r="N9" s="108" t="s">
        <v>679</v>
      </c>
      <c r="O9" s="108">
        <v>9539169</v>
      </c>
      <c r="P9" s="108" t="s">
        <v>678</v>
      </c>
      <c r="Q9" s="108" t="s">
        <v>1086</v>
      </c>
      <c r="AK9" s="29" t="s">
        <v>30</v>
      </c>
      <c r="AM9" s="14" t="s">
        <v>636</v>
      </c>
      <c r="AN9" s="14" t="s">
        <v>635</v>
      </c>
      <c r="AQ9" s="14" t="s">
        <v>768</v>
      </c>
      <c r="AS9" s="29" t="s">
        <v>353</v>
      </c>
      <c r="AU9" s="14" t="s">
        <v>812</v>
      </c>
      <c r="AX9" s="14" t="s">
        <v>848</v>
      </c>
    </row>
    <row r="10" spans="1:54" ht="14.4">
      <c r="B10" s="106" t="s">
        <v>234</v>
      </c>
      <c r="C10" s="14" t="s">
        <v>233</v>
      </c>
      <c r="G10" s="29"/>
      <c r="H10" s="17"/>
      <c r="I10" s="34" t="s">
        <v>582</v>
      </c>
      <c r="J10" s="34"/>
      <c r="K10" s="29" t="s">
        <v>31</v>
      </c>
      <c r="L10" s="30"/>
      <c r="N10" s="108" t="s">
        <v>711</v>
      </c>
      <c r="O10" s="115">
        <v>9382061</v>
      </c>
      <c r="P10" s="115" t="s">
        <v>710</v>
      </c>
      <c r="Q10" s="115" t="s">
        <v>949</v>
      </c>
      <c r="AK10" s="29" t="s">
        <v>31</v>
      </c>
      <c r="AM10" s="14" t="s">
        <v>694</v>
      </c>
      <c r="AN10" s="14" t="s">
        <v>693</v>
      </c>
      <c r="AQ10" s="14" t="s">
        <v>770</v>
      </c>
      <c r="AS10" s="29" t="s">
        <v>370</v>
      </c>
      <c r="AU10" s="14" t="s">
        <v>813</v>
      </c>
      <c r="AX10" s="14" t="s">
        <v>849</v>
      </c>
    </row>
    <row r="11" spans="1:54" ht="14.4">
      <c r="B11" s="106" t="s">
        <v>269</v>
      </c>
      <c r="C11" s="14" t="s">
        <v>272</v>
      </c>
      <c r="G11" s="30" t="s">
        <v>371</v>
      </c>
      <c r="H11" s="17"/>
      <c r="I11" s="34" t="s">
        <v>8</v>
      </c>
      <c r="J11" s="34"/>
      <c r="K11" s="29" t="s">
        <v>756</v>
      </c>
      <c r="L11" s="30"/>
      <c r="N11" s="108" t="s">
        <v>1069</v>
      </c>
      <c r="O11" s="108">
        <v>9894478</v>
      </c>
      <c r="P11" s="108" t="s">
        <v>1070</v>
      </c>
      <c r="Q11" s="108" t="s">
        <v>1071</v>
      </c>
      <c r="AK11" s="29" t="s">
        <v>577</v>
      </c>
      <c r="AM11" s="14" t="s">
        <v>696</v>
      </c>
      <c r="AN11" s="14" t="s">
        <v>695</v>
      </c>
      <c r="AQ11" s="14" t="s">
        <v>771</v>
      </c>
      <c r="AS11" s="29" t="s">
        <v>370</v>
      </c>
      <c r="AU11" s="14" t="s">
        <v>814</v>
      </c>
      <c r="AX11" s="14" t="s">
        <v>850</v>
      </c>
    </row>
    <row r="12" spans="1:54" ht="14.4">
      <c r="B12" s="106" t="s">
        <v>282</v>
      </c>
      <c r="C12" s="14" t="s">
        <v>283</v>
      </c>
      <c r="G12" s="30" t="s">
        <v>372</v>
      </c>
      <c r="H12" s="17"/>
      <c r="I12" s="34" t="s">
        <v>9</v>
      </c>
      <c r="J12" s="34"/>
      <c r="K12" s="29" t="s">
        <v>757</v>
      </c>
      <c r="L12" s="30"/>
      <c r="N12" s="108" t="s">
        <v>1072</v>
      </c>
      <c r="O12" s="108">
        <v>9894466</v>
      </c>
      <c r="P12" s="108" t="s">
        <v>1073</v>
      </c>
      <c r="Q12" s="108" t="s">
        <v>1074</v>
      </c>
      <c r="AK12" s="29" t="s">
        <v>578</v>
      </c>
      <c r="AM12" s="14" t="s">
        <v>713</v>
      </c>
      <c r="AN12" s="14" t="s">
        <v>712</v>
      </c>
      <c r="AQ12" s="14" t="s">
        <v>772</v>
      </c>
      <c r="AS12" s="29" t="s">
        <v>370</v>
      </c>
      <c r="AU12" s="14" t="s">
        <v>815</v>
      </c>
      <c r="AX12" s="14" t="s">
        <v>851</v>
      </c>
    </row>
    <row r="13" spans="1:54" ht="14.4">
      <c r="B13" s="106" t="s">
        <v>222</v>
      </c>
      <c r="C13" s="14" t="s">
        <v>221</v>
      </c>
      <c r="G13" s="30" t="s">
        <v>373</v>
      </c>
      <c r="H13" s="17"/>
      <c r="I13" s="34" t="s">
        <v>10</v>
      </c>
      <c r="J13" s="34"/>
      <c r="K13" s="29" t="s">
        <v>579</v>
      </c>
      <c r="L13" s="30"/>
      <c r="N13" s="108" t="s">
        <v>634</v>
      </c>
      <c r="O13" s="108">
        <v>9696785</v>
      </c>
      <c r="P13" s="108" t="s">
        <v>633</v>
      </c>
      <c r="Q13" s="108" t="s">
        <v>912</v>
      </c>
      <c r="AK13" s="29" t="s">
        <v>579</v>
      </c>
      <c r="AM13" s="14" t="s">
        <v>715</v>
      </c>
      <c r="AN13" s="14" t="s">
        <v>714</v>
      </c>
      <c r="AQ13" s="14" t="s">
        <v>773</v>
      </c>
      <c r="AS13" s="29" t="s">
        <v>370</v>
      </c>
      <c r="AU13" s="14" t="s">
        <v>816</v>
      </c>
      <c r="AX13" s="14" t="s">
        <v>852</v>
      </c>
    </row>
    <row r="14" spans="1:54" ht="14.4">
      <c r="B14" s="106" t="s">
        <v>273</v>
      </c>
      <c r="C14" s="14" t="s">
        <v>274</v>
      </c>
      <c r="G14" s="32" t="s">
        <v>374</v>
      </c>
      <c r="H14" s="17"/>
      <c r="I14" s="34" t="s">
        <v>11</v>
      </c>
      <c r="J14" s="34"/>
      <c r="K14" s="29" t="s">
        <v>801</v>
      </c>
      <c r="L14" s="32"/>
      <c r="N14" s="108" t="s">
        <v>636</v>
      </c>
      <c r="O14" s="108">
        <v>9622813</v>
      </c>
      <c r="P14" s="108" t="s">
        <v>635</v>
      </c>
      <c r="Q14" s="108" t="s">
        <v>913</v>
      </c>
      <c r="AK14" s="29" t="s">
        <v>376</v>
      </c>
      <c r="AM14" s="14" t="s">
        <v>717</v>
      </c>
      <c r="AN14" s="14" t="s">
        <v>716</v>
      </c>
      <c r="AQ14" s="14" t="s">
        <v>775</v>
      </c>
      <c r="AS14" s="29" t="s">
        <v>338</v>
      </c>
      <c r="AU14" s="14" t="s">
        <v>817</v>
      </c>
      <c r="AX14" s="14" t="s">
        <v>853</v>
      </c>
    </row>
    <row r="15" spans="1:54" ht="14.4">
      <c r="B15" s="106" t="s">
        <v>230</v>
      </c>
      <c r="C15" s="14" t="s">
        <v>229</v>
      </c>
      <c r="G15" s="35" t="s">
        <v>375</v>
      </c>
      <c r="H15" s="17"/>
      <c r="I15" s="34" t="s">
        <v>12</v>
      </c>
      <c r="J15" s="34"/>
      <c r="K15" s="30" t="s">
        <v>378</v>
      </c>
      <c r="L15" s="32"/>
      <c r="N15" s="108" t="s">
        <v>694</v>
      </c>
      <c r="O15" s="115">
        <v>9405083</v>
      </c>
      <c r="P15" s="115" t="s">
        <v>693</v>
      </c>
      <c r="Q15" s="115" t="s">
        <v>934</v>
      </c>
      <c r="AM15" s="14" t="s">
        <v>681</v>
      </c>
      <c r="AN15" s="14" t="s">
        <v>680</v>
      </c>
      <c r="AQ15" s="14" t="s">
        <v>774</v>
      </c>
      <c r="AS15" s="29" t="s">
        <v>370</v>
      </c>
      <c r="AU15" s="14" t="s">
        <v>818</v>
      </c>
    </row>
    <row r="16" spans="1:54" ht="14.4">
      <c r="B16" s="106" t="s">
        <v>228</v>
      </c>
      <c r="C16" s="14" t="s">
        <v>227</v>
      </c>
      <c r="G16" s="35" t="s">
        <v>377</v>
      </c>
      <c r="H16" s="17"/>
      <c r="I16" s="34" t="s">
        <v>584</v>
      </c>
      <c r="J16" s="34"/>
      <c r="K16" s="30" t="s">
        <v>380</v>
      </c>
      <c r="L16" s="32"/>
      <c r="N16" s="108" t="s">
        <v>696</v>
      </c>
      <c r="O16" s="115">
        <v>9398307</v>
      </c>
      <c r="P16" s="115" t="s">
        <v>695</v>
      </c>
      <c r="Q16" s="115" t="s">
        <v>281</v>
      </c>
      <c r="AM16" s="14" t="s">
        <v>638</v>
      </c>
      <c r="AN16" s="14" t="s">
        <v>637</v>
      </c>
      <c r="AQ16" s="14" t="s">
        <v>776</v>
      </c>
      <c r="AS16" s="29" t="s">
        <v>370</v>
      </c>
      <c r="AU16" s="14" t="s">
        <v>819</v>
      </c>
    </row>
    <row r="17" spans="2:47" ht="14.4">
      <c r="B17" s="106" t="s">
        <v>275</v>
      </c>
      <c r="C17" s="14" t="s">
        <v>276</v>
      </c>
      <c r="G17" s="35" t="s">
        <v>379</v>
      </c>
      <c r="H17" s="17"/>
      <c r="I17" s="34" t="s">
        <v>13</v>
      </c>
      <c r="J17" s="34"/>
      <c r="K17" s="30" t="s">
        <v>382</v>
      </c>
      <c r="L17" s="32"/>
      <c r="N17" s="108" t="s">
        <v>713</v>
      </c>
      <c r="O17" s="115">
        <v>9367736</v>
      </c>
      <c r="P17" s="115" t="s">
        <v>712</v>
      </c>
      <c r="Q17" s="115" t="s">
        <v>278</v>
      </c>
      <c r="AM17" s="14" t="s">
        <v>719</v>
      </c>
      <c r="AN17" s="14" t="s">
        <v>718</v>
      </c>
      <c r="AQ17" s="14" t="s">
        <v>777</v>
      </c>
      <c r="AS17" s="29" t="s">
        <v>370</v>
      </c>
      <c r="AU17" s="14" t="s">
        <v>820</v>
      </c>
    </row>
    <row r="18" spans="2:47" ht="14.4">
      <c r="B18" s="106" t="s">
        <v>236</v>
      </c>
      <c r="C18" s="14" t="s">
        <v>235</v>
      </c>
      <c r="G18" s="35"/>
      <c r="H18" s="17"/>
      <c r="I18" s="34" t="s">
        <v>14</v>
      </c>
      <c r="J18" s="34"/>
      <c r="K18" s="30" t="s">
        <v>758</v>
      </c>
      <c r="L18" s="32"/>
      <c r="N18" s="108" t="s">
        <v>715</v>
      </c>
      <c r="O18" s="115">
        <v>9367724</v>
      </c>
      <c r="P18" s="115" t="s">
        <v>714</v>
      </c>
      <c r="Q18" s="115" t="s">
        <v>271</v>
      </c>
      <c r="AM18" s="14" t="s">
        <v>721</v>
      </c>
      <c r="AN18" s="14" t="s">
        <v>720</v>
      </c>
      <c r="AQ18" s="14" t="s">
        <v>778</v>
      </c>
      <c r="AS18" s="29" t="s">
        <v>370</v>
      </c>
      <c r="AU18" s="14" t="s">
        <v>821</v>
      </c>
    </row>
    <row r="19" spans="2:47" ht="14.4">
      <c r="B19" s="106" t="s">
        <v>384</v>
      </c>
      <c r="C19" s="14" t="s">
        <v>198</v>
      </c>
      <c r="G19" s="37" t="s">
        <v>381</v>
      </c>
      <c r="H19" s="17"/>
      <c r="I19" s="34" t="s">
        <v>15</v>
      </c>
      <c r="J19" s="34"/>
      <c r="K19" s="30" t="s">
        <v>386</v>
      </c>
      <c r="L19" s="32"/>
      <c r="N19" s="108" t="s">
        <v>265</v>
      </c>
      <c r="O19" s="115">
        <v>9347310</v>
      </c>
      <c r="P19" s="115" t="s">
        <v>904</v>
      </c>
      <c r="Q19" s="115" t="s">
        <v>266</v>
      </c>
      <c r="AM19" s="14" t="s">
        <v>723</v>
      </c>
      <c r="AN19" s="14" t="s">
        <v>722</v>
      </c>
      <c r="AQ19" s="14" t="s">
        <v>779</v>
      </c>
      <c r="AS19" s="29" t="s">
        <v>370</v>
      </c>
      <c r="AU19" s="14" t="s">
        <v>822</v>
      </c>
    </row>
    <row r="20" spans="2:47" ht="14.4">
      <c r="B20" s="106" t="s">
        <v>238</v>
      </c>
      <c r="C20" s="14" t="s">
        <v>237</v>
      </c>
      <c r="G20" s="37" t="s">
        <v>383</v>
      </c>
      <c r="H20" s="17"/>
      <c r="I20" s="34" t="s">
        <v>16</v>
      </c>
      <c r="J20" s="34"/>
      <c r="K20" s="30" t="s">
        <v>388</v>
      </c>
      <c r="L20" s="32"/>
      <c r="N20" s="118" t="s">
        <v>717</v>
      </c>
      <c r="O20" s="119">
        <v>9788605</v>
      </c>
      <c r="P20" s="119" t="s">
        <v>716</v>
      </c>
      <c r="Q20" s="119" t="s">
        <v>965</v>
      </c>
      <c r="AM20" s="14" t="s">
        <v>725</v>
      </c>
      <c r="AN20" s="14" t="s">
        <v>724</v>
      </c>
      <c r="AQ20" s="14" t="s">
        <v>780</v>
      </c>
      <c r="AS20" s="29" t="s">
        <v>370</v>
      </c>
      <c r="AU20" s="14" t="s">
        <v>823</v>
      </c>
    </row>
    <row r="21" spans="2:47" ht="14.4">
      <c r="B21" s="106" t="s">
        <v>240</v>
      </c>
      <c r="C21" s="14" t="s">
        <v>239</v>
      </c>
      <c r="G21" s="37" t="s">
        <v>385</v>
      </c>
      <c r="H21" s="17"/>
      <c r="I21" s="34" t="s">
        <v>17</v>
      </c>
      <c r="J21" s="34"/>
      <c r="K21" s="30" t="s">
        <v>762</v>
      </c>
      <c r="L21" s="32"/>
      <c r="N21" s="108" t="s">
        <v>681</v>
      </c>
      <c r="O21" s="108">
        <v>9182356</v>
      </c>
      <c r="P21" s="108" t="s">
        <v>680</v>
      </c>
      <c r="Q21" s="108" t="s">
        <v>221</v>
      </c>
      <c r="AM21" s="14" t="s">
        <v>698</v>
      </c>
      <c r="AN21" s="14" t="s">
        <v>697</v>
      </c>
      <c r="AQ21" s="14" t="s">
        <v>781</v>
      </c>
      <c r="AS21" s="29" t="s">
        <v>370</v>
      </c>
      <c r="AU21" s="14" t="s">
        <v>824</v>
      </c>
    </row>
    <row r="22" spans="2:47" ht="14.4">
      <c r="B22" s="106" t="s">
        <v>242</v>
      </c>
      <c r="C22" s="14" t="s">
        <v>241</v>
      </c>
      <c r="G22" s="37" t="s">
        <v>387</v>
      </c>
      <c r="H22" s="17"/>
      <c r="I22" s="34" t="s">
        <v>391</v>
      </c>
      <c r="J22" s="34"/>
      <c r="K22" s="30" t="s">
        <v>392</v>
      </c>
      <c r="L22" s="32"/>
      <c r="N22" s="108" t="s">
        <v>638</v>
      </c>
      <c r="O22" s="108">
        <v>9591973</v>
      </c>
      <c r="P22" s="108" t="s">
        <v>637</v>
      </c>
      <c r="Q22" s="108" t="s">
        <v>914</v>
      </c>
      <c r="AM22" s="14" t="s">
        <v>236</v>
      </c>
      <c r="AN22" s="14" t="s">
        <v>726</v>
      </c>
      <c r="AQ22" s="14" t="s">
        <v>782</v>
      </c>
      <c r="AS22" s="29" t="s">
        <v>370</v>
      </c>
      <c r="AU22" s="14" t="s">
        <v>825</v>
      </c>
    </row>
    <row r="23" spans="2:47" ht="14.4">
      <c r="B23" s="106" t="s">
        <v>248</v>
      </c>
      <c r="C23" s="14" t="s">
        <v>247</v>
      </c>
      <c r="G23" s="37"/>
      <c r="H23" s="17"/>
      <c r="I23" s="34" t="s">
        <v>18</v>
      </c>
      <c r="J23" s="34"/>
      <c r="K23" s="30" t="s">
        <v>394</v>
      </c>
      <c r="L23" s="32"/>
      <c r="N23" s="108" t="s">
        <v>719</v>
      </c>
      <c r="O23" s="115">
        <v>9812743</v>
      </c>
      <c r="P23" s="115" t="s">
        <v>718</v>
      </c>
      <c r="Q23" s="115" t="s">
        <v>939</v>
      </c>
      <c r="AM23" s="14" t="s">
        <v>700</v>
      </c>
      <c r="AN23" s="14" t="s">
        <v>699</v>
      </c>
      <c r="AQ23" s="14" t="s">
        <v>783</v>
      </c>
      <c r="AS23" s="29" t="s">
        <v>370</v>
      </c>
      <c r="AU23" s="14" t="s">
        <v>826</v>
      </c>
    </row>
    <row r="24" spans="2:47" ht="14.4">
      <c r="B24" s="106" t="s">
        <v>285</v>
      </c>
      <c r="C24" s="14" t="s">
        <v>286</v>
      </c>
      <c r="G24" s="34" t="s">
        <v>389</v>
      </c>
      <c r="H24" s="17"/>
      <c r="I24" s="34" t="s">
        <v>583</v>
      </c>
      <c r="J24" s="34"/>
      <c r="K24" s="30" t="s">
        <v>761</v>
      </c>
      <c r="L24" s="32"/>
      <c r="N24" s="108" t="s">
        <v>721</v>
      </c>
      <c r="O24" s="115">
        <v>9812755</v>
      </c>
      <c r="P24" s="115" t="s">
        <v>720</v>
      </c>
      <c r="Q24" s="115" t="s">
        <v>940</v>
      </c>
      <c r="AM24" s="14" t="s">
        <v>240</v>
      </c>
      <c r="AN24" s="14" t="s">
        <v>727</v>
      </c>
      <c r="AQ24" s="14" t="s">
        <v>784</v>
      </c>
      <c r="AS24" s="29" t="s">
        <v>370</v>
      </c>
      <c r="AU24" s="14" t="s">
        <v>827</v>
      </c>
    </row>
    <row r="25" spans="2:47" ht="14.4">
      <c r="B25" s="106" t="s">
        <v>287</v>
      </c>
      <c r="C25" s="14" t="s">
        <v>288</v>
      </c>
      <c r="G25" s="34" t="s">
        <v>390</v>
      </c>
      <c r="H25" s="17"/>
      <c r="I25" s="34" t="s">
        <v>19</v>
      </c>
      <c r="J25" s="34"/>
      <c r="K25" s="30" t="s">
        <v>760</v>
      </c>
      <c r="L25" s="32"/>
      <c r="N25" s="108" t="s">
        <v>723</v>
      </c>
      <c r="O25" s="115">
        <v>9433810</v>
      </c>
      <c r="P25" s="115" t="s">
        <v>722</v>
      </c>
      <c r="Q25" s="115" t="s">
        <v>941</v>
      </c>
      <c r="AM25" s="14" t="s">
        <v>640</v>
      </c>
      <c r="AN25" s="14" t="s">
        <v>639</v>
      </c>
      <c r="AQ25" s="14" t="s">
        <v>785</v>
      </c>
      <c r="AS25" s="29" t="s">
        <v>365</v>
      </c>
      <c r="AU25" s="14" t="s">
        <v>828</v>
      </c>
    </row>
    <row r="26" spans="2:47" ht="14.4">
      <c r="B26" s="106" t="s">
        <v>250</v>
      </c>
      <c r="C26" s="14" t="s">
        <v>249</v>
      </c>
      <c r="G26" s="34"/>
      <c r="H26" s="17"/>
      <c r="I26" s="34" t="s">
        <v>20</v>
      </c>
      <c r="J26" s="34"/>
      <c r="K26" s="30" t="s">
        <v>759</v>
      </c>
      <c r="L26" s="32"/>
      <c r="N26" s="108" t="s">
        <v>725</v>
      </c>
      <c r="O26" s="115">
        <v>9387255</v>
      </c>
      <c r="P26" s="115" t="s">
        <v>724</v>
      </c>
      <c r="Q26" s="115" t="s">
        <v>276</v>
      </c>
      <c r="AM26" s="14" t="s">
        <v>750</v>
      </c>
      <c r="AN26" s="14" t="s">
        <v>728</v>
      </c>
      <c r="AQ26" s="14" t="s">
        <v>786</v>
      </c>
      <c r="AS26" s="29" t="s">
        <v>370</v>
      </c>
      <c r="AU26" s="14" t="s">
        <v>829</v>
      </c>
    </row>
    <row r="27" spans="2:47" ht="14.4">
      <c r="B27" s="106" t="s">
        <v>293</v>
      </c>
      <c r="C27" s="14" t="s">
        <v>294</v>
      </c>
      <c r="G27" s="38" t="s">
        <v>393</v>
      </c>
      <c r="H27" s="17"/>
      <c r="I27" s="34" t="s">
        <v>21</v>
      </c>
      <c r="J27" s="34"/>
      <c r="K27" s="30" t="s">
        <v>802</v>
      </c>
      <c r="L27" s="32"/>
      <c r="N27" s="108" t="s">
        <v>698</v>
      </c>
      <c r="O27" s="115">
        <v>9838008</v>
      </c>
      <c r="P27" s="115" t="s">
        <v>697</v>
      </c>
      <c r="Q27" s="115" t="s">
        <v>935</v>
      </c>
      <c r="AM27" s="14" t="s">
        <v>730</v>
      </c>
      <c r="AN27" s="14" t="s">
        <v>729</v>
      </c>
      <c r="AQ27" s="14" t="s">
        <v>787</v>
      </c>
      <c r="AS27" s="29" t="s">
        <v>370</v>
      </c>
      <c r="AU27" s="14" t="s">
        <v>830</v>
      </c>
    </row>
    <row r="28" spans="2:47" ht="14.4">
      <c r="B28" s="106" t="s">
        <v>252</v>
      </c>
      <c r="C28" s="14" t="s">
        <v>251</v>
      </c>
      <c r="G28" s="38" t="s">
        <v>395</v>
      </c>
      <c r="H28" s="17"/>
      <c r="I28" s="34" t="s">
        <v>22</v>
      </c>
      <c r="J28" s="34"/>
      <c r="K28" s="35" t="s">
        <v>336</v>
      </c>
      <c r="L28" s="32"/>
      <c r="N28" s="108" t="s">
        <v>236</v>
      </c>
      <c r="O28" s="115">
        <v>9337901</v>
      </c>
      <c r="P28" s="115" t="s">
        <v>726</v>
      </c>
      <c r="Q28" s="115" t="s">
        <v>235</v>
      </c>
      <c r="AM28" s="14" t="s">
        <v>732</v>
      </c>
      <c r="AN28" s="14" t="s">
        <v>731</v>
      </c>
      <c r="AQ28" s="14" t="s">
        <v>788</v>
      </c>
      <c r="AS28" s="29" t="s">
        <v>370</v>
      </c>
      <c r="AU28" s="14" t="s">
        <v>831</v>
      </c>
    </row>
    <row r="29" spans="2:47" ht="14.4">
      <c r="B29" s="106" t="s">
        <v>254</v>
      </c>
      <c r="C29" s="14" t="s">
        <v>253</v>
      </c>
      <c r="G29" s="38" t="s">
        <v>396</v>
      </c>
      <c r="H29" s="17"/>
      <c r="I29" s="34" t="s">
        <v>23</v>
      </c>
      <c r="K29" s="35" t="s">
        <v>32</v>
      </c>
      <c r="L29" s="32"/>
      <c r="N29" s="108" t="s">
        <v>982</v>
      </c>
      <c r="O29" s="115">
        <v>9882358</v>
      </c>
      <c r="P29" s="115" t="s">
        <v>989</v>
      </c>
      <c r="Q29" s="115" t="s">
        <v>1052</v>
      </c>
      <c r="AM29" s="14" t="s">
        <v>642</v>
      </c>
      <c r="AN29" s="14" t="s">
        <v>641</v>
      </c>
      <c r="AQ29" s="14" t="s">
        <v>789</v>
      </c>
      <c r="AS29" s="29" t="s">
        <v>370</v>
      </c>
      <c r="AU29" s="14" t="s">
        <v>832</v>
      </c>
    </row>
    <row r="30" spans="2:47" ht="14.4">
      <c r="B30" s="106" t="s">
        <v>256</v>
      </c>
      <c r="C30" s="14" t="s">
        <v>255</v>
      </c>
      <c r="G30" s="38" t="s">
        <v>397</v>
      </c>
      <c r="H30" s="17"/>
      <c r="I30" s="34" t="s">
        <v>24</v>
      </c>
      <c r="K30" s="35" t="s">
        <v>168</v>
      </c>
      <c r="L30" s="32"/>
      <c r="N30" s="108" t="s">
        <v>983</v>
      </c>
      <c r="O30" s="115">
        <v>9882360</v>
      </c>
      <c r="P30" s="115" t="s">
        <v>990</v>
      </c>
      <c r="Q30" s="115" t="s">
        <v>1058</v>
      </c>
      <c r="AM30" s="14" t="s">
        <v>644</v>
      </c>
      <c r="AN30" s="14" t="s">
        <v>643</v>
      </c>
      <c r="AQ30" s="14" t="s">
        <v>790</v>
      </c>
      <c r="AS30" s="29" t="s">
        <v>370</v>
      </c>
      <c r="AU30" s="14" t="s">
        <v>833</v>
      </c>
    </row>
    <row r="31" spans="2:47" ht="14.4">
      <c r="B31" s="106" t="s">
        <v>212</v>
      </c>
      <c r="C31" s="14" t="s">
        <v>211</v>
      </c>
      <c r="H31" s="17"/>
      <c r="I31" s="34" t="s">
        <v>169</v>
      </c>
      <c r="K31" s="35" t="s">
        <v>33</v>
      </c>
      <c r="L31" s="32"/>
      <c r="N31" s="108" t="s">
        <v>980</v>
      </c>
      <c r="O31" s="115">
        <v>9882346</v>
      </c>
      <c r="P31" s="115" t="s">
        <v>987</v>
      </c>
      <c r="Q31" s="115" t="s">
        <v>1051</v>
      </c>
      <c r="AM31" s="14" t="s">
        <v>683</v>
      </c>
      <c r="AN31" s="14" t="s">
        <v>682</v>
      </c>
      <c r="AQ31" s="14" t="s">
        <v>794</v>
      </c>
      <c r="AS31" s="29" t="s">
        <v>370</v>
      </c>
      <c r="AU31" s="14" t="s">
        <v>834</v>
      </c>
    </row>
    <row r="32" spans="2:47" ht="14.4">
      <c r="B32" s="106" t="s">
        <v>220</v>
      </c>
      <c r="C32" s="14" t="s">
        <v>219</v>
      </c>
      <c r="H32" s="17"/>
      <c r="I32" s="34" t="s">
        <v>25</v>
      </c>
      <c r="K32" s="35" t="s">
        <v>34</v>
      </c>
      <c r="L32" s="32"/>
      <c r="N32" s="108" t="s">
        <v>700</v>
      </c>
      <c r="O32" s="120">
        <v>9855484</v>
      </c>
      <c r="P32" s="115" t="s">
        <v>699</v>
      </c>
      <c r="Q32" s="115" t="s">
        <v>968</v>
      </c>
      <c r="AM32" s="14" t="s">
        <v>646</v>
      </c>
      <c r="AN32" s="14" t="s">
        <v>645</v>
      </c>
      <c r="AQ32" s="14" t="s">
        <v>791</v>
      </c>
      <c r="AS32" s="29" t="s">
        <v>344</v>
      </c>
      <c r="AU32" s="14" t="s">
        <v>835</v>
      </c>
    </row>
    <row r="33" spans="2:47" ht="14.4">
      <c r="B33" s="106" t="s">
        <v>277</v>
      </c>
      <c r="C33" s="14" t="s">
        <v>278</v>
      </c>
      <c r="I33" s="34"/>
      <c r="K33" s="35" t="s">
        <v>35</v>
      </c>
      <c r="L33" s="32"/>
      <c r="N33" s="108" t="s">
        <v>973</v>
      </c>
      <c r="O33" s="115">
        <v>9882334</v>
      </c>
      <c r="P33" s="115" t="s">
        <v>974</v>
      </c>
      <c r="Q33" s="115" t="s">
        <v>991</v>
      </c>
      <c r="AM33" s="14" t="s">
        <v>734</v>
      </c>
      <c r="AN33" s="14" t="s">
        <v>733</v>
      </c>
      <c r="AQ33" s="14" t="s">
        <v>792</v>
      </c>
      <c r="AS33" s="29" t="s">
        <v>370</v>
      </c>
      <c r="AU33" s="14" t="s">
        <v>836</v>
      </c>
    </row>
    <row r="34" spans="2:47" ht="14.4">
      <c r="B34" s="106" t="s">
        <v>270</v>
      </c>
      <c r="C34" s="14" t="s">
        <v>271</v>
      </c>
      <c r="K34" s="35" t="s">
        <v>36</v>
      </c>
      <c r="L34" s="32"/>
      <c r="N34" s="118" t="s">
        <v>1103</v>
      </c>
      <c r="O34" s="119">
        <v>9900461</v>
      </c>
      <c r="P34" s="119" t="s">
        <v>1101</v>
      </c>
      <c r="Q34" s="119" t="s">
        <v>1102</v>
      </c>
      <c r="AM34" s="14" t="s">
        <v>736</v>
      </c>
      <c r="AN34" s="14" t="s">
        <v>735</v>
      </c>
      <c r="AQ34" s="14" t="s">
        <v>793</v>
      </c>
      <c r="AS34" s="29" t="s">
        <v>370</v>
      </c>
      <c r="AU34" s="14" t="s">
        <v>837</v>
      </c>
    </row>
    <row r="35" spans="2:47" ht="14.4">
      <c r="B35" s="106" t="s">
        <v>200</v>
      </c>
      <c r="C35" s="14" t="s">
        <v>199</v>
      </c>
      <c r="K35" s="35" t="s">
        <v>37</v>
      </c>
      <c r="L35" s="32"/>
      <c r="N35" s="108" t="s">
        <v>238</v>
      </c>
      <c r="O35" s="115">
        <v>9296810</v>
      </c>
      <c r="P35" s="115" t="s">
        <v>905</v>
      </c>
      <c r="Q35" s="115" t="s">
        <v>237</v>
      </c>
      <c r="AM35" s="14" t="s">
        <v>738</v>
      </c>
      <c r="AN35" s="14" t="s">
        <v>737</v>
      </c>
      <c r="AQ35" s="14" t="s">
        <v>795</v>
      </c>
      <c r="AS35" s="29" t="s">
        <v>370</v>
      </c>
      <c r="AU35" s="14" t="s">
        <v>838</v>
      </c>
    </row>
    <row r="36" spans="2:47" ht="14.4">
      <c r="B36" s="106" t="s">
        <v>267</v>
      </c>
      <c r="C36" s="14" t="s">
        <v>398</v>
      </c>
      <c r="I36" s="34" t="s">
        <v>169</v>
      </c>
      <c r="K36" s="35" t="s">
        <v>38</v>
      </c>
      <c r="L36" s="32"/>
      <c r="N36" s="108" t="s">
        <v>240</v>
      </c>
      <c r="O36" s="115">
        <v>9310850</v>
      </c>
      <c r="P36" s="115" t="s">
        <v>727</v>
      </c>
      <c r="Q36" s="115" t="s">
        <v>239</v>
      </c>
      <c r="AM36" s="14" t="s">
        <v>751</v>
      </c>
      <c r="AN36" s="14" t="s">
        <v>647</v>
      </c>
      <c r="AQ36" s="14" t="s">
        <v>796</v>
      </c>
      <c r="AS36" s="29" t="s">
        <v>369</v>
      </c>
      <c r="AU36" s="14" t="s">
        <v>839</v>
      </c>
    </row>
    <row r="37" spans="2:47" ht="14.4">
      <c r="B37" s="106" t="s">
        <v>214</v>
      </c>
      <c r="C37" s="14" t="s">
        <v>213</v>
      </c>
      <c r="E37" s="17"/>
      <c r="F37" s="17"/>
      <c r="I37" s="34" t="s">
        <v>25</v>
      </c>
      <c r="K37" s="35" t="s">
        <v>39</v>
      </c>
      <c r="L37" s="39"/>
      <c r="N37" s="108" t="s">
        <v>640</v>
      </c>
      <c r="O37" s="108">
        <v>9725445</v>
      </c>
      <c r="P37" s="108" t="s">
        <v>639</v>
      </c>
      <c r="Q37" s="108" t="s">
        <v>915</v>
      </c>
      <c r="AM37" s="14" t="s">
        <v>685</v>
      </c>
      <c r="AN37" s="14" t="s">
        <v>684</v>
      </c>
      <c r="AQ37" s="14" t="s">
        <v>797</v>
      </c>
      <c r="AS37" s="29" t="s">
        <v>370</v>
      </c>
      <c r="AU37" s="14" t="s">
        <v>840</v>
      </c>
    </row>
    <row r="38" spans="2:47" ht="14.4">
      <c r="B38" s="106" t="s">
        <v>289</v>
      </c>
      <c r="C38" s="14" t="s">
        <v>290</v>
      </c>
      <c r="E38" s="17"/>
      <c r="F38" s="17"/>
      <c r="K38" s="35" t="s">
        <v>40</v>
      </c>
      <c r="L38" s="39"/>
      <c r="N38" s="108" t="s">
        <v>750</v>
      </c>
      <c r="O38" s="115">
        <v>9222651</v>
      </c>
      <c r="P38" s="115" t="s">
        <v>728</v>
      </c>
      <c r="Q38" s="115" t="s">
        <v>942</v>
      </c>
      <c r="AM38" s="14" t="s">
        <v>252</v>
      </c>
      <c r="AN38" s="14" t="s">
        <v>648</v>
      </c>
      <c r="AQ38" s="14" t="s">
        <v>798</v>
      </c>
      <c r="AS38" s="29" t="s">
        <v>370</v>
      </c>
    </row>
    <row r="39" spans="2:47" ht="14.4">
      <c r="B39" s="106" t="s">
        <v>291</v>
      </c>
      <c r="C39" s="14" t="s">
        <v>292</v>
      </c>
      <c r="E39" s="17"/>
      <c r="F39" s="17"/>
      <c r="K39" s="35" t="s">
        <v>41</v>
      </c>
      <c r="L39" s="39"/>
      <c r="N39" s="108" t="s">
        <v>730</v>
      </c>
      <c r="O39" s="115">
        <v>9228291</v>
      </c>
      <c r="P39" s="115" t="s">
        <v>729</v>
      </c>
      <c r="Q39" s="115" t="s">
        <v>951</v>
      </c>
      <c r="AM39" s="14" t="s">
        <v>650</v>
      </c>
      <c r="AN39" s="14" t="s">
        <v>649</v>
      </c>
    </row>
    <row r="40" spans="2:47" ht="14.4">
      <c r="B40" s="106" t="s">
        <v>216</v>
      </c>
      <c r="C40" s="14" t="s">
        <v>215</v>
      </c>
      <c r="E40" s="17"/>
      <c r="K40" s="35" t="s">
        <v>42</v>
      </c>
      <c r="L40" s="39"/>
      <c r="N40" s="108" t="s">
        <v>732</v>
      </c>
      <c r="O40" s="115">
        <v>9254252</v>
      </c>
      <c r="P40" s="115" t="s">
        <v>731</v>
      </c>
      <c r="Q40" s="115" t="s">
        <v>950</v>
      </c>
      <c r="AM40" s="14" t="s">
        <v>652</v>
      </c>
      <c r="AN40" s="14" t="s">
        <v>651</v>
      </c>
    </row>
    <row r="41" spans="2:47" ht="14.4">
      <c r="B41" s="106" t="s">
        <v>218</v>
      </c>
      <c r="C41" s="14" t="s">
        <v>217</v>
      </c>
      <c r="E41" s="17"/>
      <c r="G41" s="17"/>
      <c r="K41" s="35" t="s">
        <v>43</v>
      </c>
      <c r="L41" s="39"/>
      <c r="N41" s="108" t="s">
        <v>642</v>
      </c>
      <c r="O41" s="108">
        <v>9687746</v>
      </c>
      <c r="P41" s="108" t="s">
        <v>641</v>
      </c>
      <c r="Q41" s="108" t="s">
        <v>916</v>
      </c>
      <c r="AM41" s="14" t="s">
        <v>654</v>
      </c>
      <c r="AN41" s="14" t="s">
        <v>653</v>
      </c>
    </row>
    <row r="42" spans="2:47" ht="14.4">
      <c r="B42" s="106" t="s">
        <v>258</v>
      </c>
      <c r="C42" s="14" t="s">
        <v>257</v>
      </c>
      <c r="E42" s="17"/>
      <c r="G42" s="17"/>
      <c r="K42" s="35" t="s">
        <v>44</v>
      </c>
      <c r="L42" s="39"/>
      <c r="N42" s="108" t="s">
        <v>644</v>
      </c>
      <c r="O42" s="108">
        <v>9565053</v>
      </c>
      <c r="P42" s="108" t="s">
        <v>643</v>
      </c>
      <c r="Q42" s="108" t="s">
        <v>294</v>
      </c>
      <c r="AM42" s="14" t="s">
        <v>656</v>
      </c>
      <c r="AN42" s="14" t="s">
        <v>655</v>
      </c>
    </row>
    <row r="43" spans="2:47" ht="14.4">
      <c r="B43" s="106" t="s">
        <v>210</v>
      </c>
      <c r="C43" s="14" t="s">
        <v>209</v>
      </c>
      <c r="E43" s="17"/>
      <c r="G43" s="17"/>
      <c r="K43" s="35" t="s">
        <v>45</v>
      </c>
      <c r="L43" s="39"/>
      <c r="N43" s="108" t="s">
        <v>683</v>
      </c>
      <c r="O43" s="108">
        <v>9561277</v>
      </c>
      <c r="P43" s="108" t="s">
        <v>682</v>
      </c>
      <c r="Q43" s="108" t="s">
        <v>932</v>
      </c>
      <c r="AM43" s="14" t="s">
        <v>254</v>
      </c>
      <c r="AN43" s="14" t="s">
        <v>657</v>
      </c>
    </row>
    <row r="44" spans="2:47" ht="14.4">
      <c r="B44" s="106" t="s">
        <v>226</v>
      </c>
      <c r="C44" s="14" t="s">
        <v>225</v>
      </c>
      <c r="E44" s="17"/>
      <c r="K44" s="35" t="s">
        <v>46</v>
      </c>
      <c r="L44" s="39"/>
      <c r="N44" s="108" t="s">
        <v>646</v>
      </c>
      <c r="O44" s="108">
        <v>9547001</v>
      </c>
      <c r="P44" s="108" t="s">
        <v>645</v>
      </c>
      <c r="Q44" s="108" t="s">
        <v>953</v>
      </c>
      <c r="AM44" s="14" t="s">
        <v>675</v>
      </c>
      <c r="AN44" s="14" t="s">
        <v>674</v>
      </c>
    </row>
    <row r="45" spans="2:47" ht="14.4">
      <c r="B45" s="106" t="s">
        <v>399</v>
      </c>
      <c r="C45" s="14" t="s">
        <v>284</v>
      </c>
      <c r="E45" s="17"/>
      <c r="K45" s="35" t="s">
        <v>47</v>
      </c>
      <c r="L45" s="39"/>
      <c r="N45" s="108" t="s">
        <v>1087</v>
      </c>
      <c r="O45" s="108">
        <v>9902093</v>
      </c>
      <c r="P45" s="108" t="s">
        <v>1088</v>
      </c>
      <c r="Q45" s="108" t="s">
        <v>1089</v>
      </c>
      <c r="AM45" s="14" t="s">
        <v>659</v>
      </c>
      <c r="AN45" s="14" t="s">
        <v>658</v>
      </c>
    </row>
    <row r="46" spans="2:47" ht="14.4">
      <c r="B46" s="106" t="s">
        <v>232</v>
      </c>
      <c r="C46" s="14" t="s">
        <v>231</v>
      </c>
      <c r="E46" s="17"/>
      <c r="K46" s="35" t="s">
        <v>48</v>
      </c>
      <c r="L46" s="39"/>
      <c r="N46" s="108" t="s">
        <v>734</v>
      </c>
      <c r="O46" s="115">
        <v>9830288</v>
      </c>
      <c r="P46" s="115" t="s">
        <v>733</v>
      </c>
      <c r="Q46" s="115" t="s">
        <v>943</v>
      </c>
      <c r="AM46" s="14" t="s">
        <v>687</v>
      </c>
      <c r="AN46" s="14" t="s">
        <v>686</v>
      </c>
    </row>
    <row r="47" spans="2:47" ht="14.4">
      <c r="B47" s="106" t="s">
        <v>260</v>
      </c>
      <c r="C47" s="14" t="s">
        <v>259</v>
      </c>
      <c r="E47" s="17"/>
      <c r="K47" s="35" t="s">
        <v>49</v>
      </c>
      <c r="L47" s="39"/>
      <c r="N47" s="108" t="s">
        <v>736</v>
      </c>
      <c r="O47" s="115">
        <v>9426283</v>
      </c>
      <c r="P47" s="115" t="s">
        <v>735</v>
      </c>
      <c r="Q47" s="115" t="s">
        <v>286</v>
      </c>
      <c r="AM47" s="14" t="s">
        <v>702</v>
      </c>
      <c r="AN47" s="14" t="s">
        <v>701</v>
      </c>
    </row>
    <row r="48" spans="2:47" ht="14.4">
      <c r="B48" s="106" t="s">
        <v>202</v>
      </c>
      <c r="C48" s="14" t="s">
        <v>201</v>
      </c>
      <c r="E48" s="17"/>
      <c r="K48" s="35" t="s">
        <v>50</v>
      </c>
      <c r="L48" s="39"/>
      <c r="N48" s="108" t="s">
        <v>738</v>
      </c>
      <c r="O48" s="115">
        <v>9830290</v>
      </c>
      <c r="P48" s="115" t="s">
        <v>737</v>
      </c>
      <c r="Q48" s="115" t="s">
        <v>944</v>
      </c>
      <c r="AM48" s="14" t="s">
        <v>661</v>
      </c>
      <c r="AN48" s="14" t="s">
        <v>660</v>
      </c>
    </row>
    <row r="49" spans="2:40">
      <c r="B49" s="106" t="s">
        <v>197</v>
      </c>
      <c r="C49" s="14" t="s">
        <v>196</v>
      </c>
      <c r="E49" s="17"/>
      <c r="K49" s="35" t="s">
        <v>51</v>
      </c>
      <c r="L49" s="39"/>
      <c r="N49" s="119" t="s">
        <v>1048</v>
      </c>
      <c r="O49" s="119">
        <v>9863223</v>
      </c>
      <c r="P49" s="119" t="s">
        <v>1049</v>
      </c>
      <c r="Q49" s="119" t="s">
        <v>1050</v>
      </c>
      <c r="AM49" s="14" t="s">
        <v>689</v>
      </c>
      <c r="AN49" s="14" t="s">
        <v>688</v>
      </c>
    </row>
    <row r="50" spans="2:40" ht="14.4">
      <c r="B50" s="106" t="s">
        <v>224</v>
      </c>
      <c r="C50" s="14" t="s">
        <v>223</v>
      </c>
      <c r="E50" s="17"/>
      <c r="K50" s="35" t="s">
        <v>52</v>
      </c>
      <c r="L50" s="39"/>
      <c r="N50" s="108" t="s">
        <v>1075</v>
      </c>
      <c r="O50" s="108">
        <v>9442524</v>
      </c>
      <c r="P50" s="108" t="s">
        <v>1076</v>
      </c>
      <c r="Q50" s="108" t="s">
        <v>1077</v>
      </c>
      <c r="AM50" s="14" t="s">
        <v>663</v>
      </c>
      <c r="AN50" s="14" t="s">
        <v>662</v>
      </c>
    </row>
    <row r="51" spans="2:40" ht="14.4">
      <c r="B51" s="106" t="s">
        <v>400</v>
      </c>
      <c r="C51" s="14" t="s">
        <v>401</v>
      </c>
      <c r="E51" s="17"/>
      <c r="K51" s="35" t="s">
        <v>402</v>
      </c>
      <c r="L51" s="39"/>
      <c r="N51" s="108" t="s">
        <v>899</v>
      </c>
      <c r="O51" s="108">
        <v>9774862</v>
      </c>
      <c r="P51" s="108" t="s">
        <v>647</v>
      </c>
      <c r="Q51" s="108" t="s">
        <v>917</v>
      </c>
      <c r="AM51" s="14" t="s">
        <v>740</v>
      </c>
      <c r="AN51" s="14" t="s">
        <v>739</v>
      </c>
    </row>
    <row r="52" spans="2:40" ht="14.4">
      <c r="B52" s="106" t="s">
        <v>206</v>
      </c>
      <c r="C52" s="14" t="s">
        <v>205</v>
      </c>
      <c r="E52" s="17"/>
      <c r="K52" s="32" t="s">
        <v>335</v>
      </c>
      <c r="L52" s="39"/>
      <c r="N52" s="108" t="s">
        <v>1078</v>
      </c>
      <c r="O52" s="108">
        <v>9760471</v>
      </c>
      <c r="P52" s="108" t="s">
        <v>1079</v>
      </c>
      <c r="Q52" s="108" t="s">
        <v>1080</v>
      </c>
      <c r="AM52" s="14" t="s">
        <v>742</v>
      </c>
      <c r="AN52" s="14" t="s">
        <v>741</v>
      </c>
    </row>
    <row r="53" spans="2:40" ht="14.4">
      <c r="B53" s="106" t="s">
        <v>403</v>
      </c>
      <c r="C53" s="14" t="s">
        <v>404</v>
      </c>
      <c r="E53" s="17"/>
      <c r="K53" s="32" t="s">
        <v>405</v>
      </c>
      <c r="L53" s="39"/>
      <c r="N53" s="108" t="s">
        <v>685</v>
      </c>
      <c r="O53" s="108">
        <v>9403217</v>
      </c>
      <c r="P53" s="108" t="s">
        <v>684</v>
      </c>
      <c r="Q53" s="108" t="s">
        <v>933</v>
      </c>
      <c r="AM53" s="14" t="s">
        <v>665</v>
      </c>
      <c r="AN53" s="14" t="s">
        <v>664</v>
      </c>
    </row>
    <row r="54" spans="2:40" ht="14.4">
      <c r="B54" s="106" t="s">
        <v>246</v>
      </c>
      <c r="C54" s="14" t="s">
        <v>245</v>
      </c>
      <c r="E54" s="17"/>
      <c r="K54" s="32" t="s">
        <v>170</v>
      </c>
      <c r="L54" s="39"/>
      <c r="N54" s="108" t="s">
        <v>252</v>
      </c>
      <c r="O54" s="108">
        <v>9236066</v>
      </c>
      <c r="P54" s="108" t="s">
        <v>648</v>
      </c>
      <c r="Q54" s="108" t="s">
        <v>251</v>
      </c>
      <c r="AM54" s="14" t="s">
        <v>667</v>
      </c>
      <c r="AN54" s="14" t="s">
        <v>666</v>
      </c>
    </row>
    <row r="55" spans="2:40" ht="14.4">
      <c r="B55" s="106" t="s">
        <v>195</v>
      </c>
      <c r="C55" s="14" t="s">
        <v>194</v>
      </c>
      <c r="E55" s="17"/>
      <c r="K55" s="32" t="s">
        <v>406</v>
      </c>
      <c r="L55" s="39"/>
      <c r="N55" s="108" t="s">
        <v>650</v>
      </c>
      <c r="O55" s="108">
        <v>9424106</v>
      </c>
      <c r="P55" s="108" t="s">
        <v>649</v>
      </c>
      <c r="Q55" s="108" t="s">
        <v>918</v>
      </c>
      <c r="AM55" s="14" t="s">
        <v>258</v>
      </c>
      <c r="AN55" s="14" t="s">
        <v>690</v>
      </c>
    </row>
    <row r="56" spans="2:40" ht="14.4">
      <c r="B56" s="106" t="s">
        <v>193</v>
      </c>
      <c r="C56" s="14" t="s">
        <v>192</v>
      </c>
      <c r="E56" s="17"/>
      <c r="K56" s="32" t="s">
        <v>407</v>
      </c>
      <c r="L56" s="39"/>
      <c r="N56" s="108" t="s">
        <v>652</v>
      </c>
      <c r="O56" s="108">
        <v>9276767</v>
      </c>
      <c r="P56" s="108" t="s">
        <v>651</v>
      </c>
      <c r="Q56" s="108" t="s">
        <v>919</v>
      </c>
      <c r="AM56" s="14" t="s">
        <v>669</v>
      </c>
      <c r="AN56" s="14" t="s">
        <v>668</v>
      </c>
    </row>
    <row r="57" spans="2:40" ht="14.4">
      <c r="B57" s="106" t="s">
        <v>244</v>
      </c>
      <c r="C57" s="14" t="s">
        <v>243</v>
      </c>
      <c r="E57" s="17"/>
      <c r="K57" s="32" t="s">
        <v>408</v>
      </c>
      <c r="L57" s="39"/>
      <c r="N57" s="108" t="s">
        <v>654</v>
      </c>
      <c r="O57" s="108">
        <v>9310006</v>
      </c>
      <c r="P57" s="108" t="s">
        <v>653</v>
      </c>
      <c r="Q57" s="108" t="s">
        <v>920</v>
      </c>
      <c r="AM57" s="14" t="s">
        <v>744</v>
      </c>
      <c r="AN57" s="14" t="s">
        <v>743</v>
      </c>
    </row>
    <row r="58" spans="2:40" ht="14.4">
      <c r="B58" s="106" t="s">
        <v>208</v>
      </c>
      <c r="C58" s="14" t="s">
        <v>207</v>
      </c>
      <c r="E58" s="17"/>
      <c r="K58" s="32" t="s">
        <v>409</v>
      </c>
      <c r="L58" s="39"/>
      <c r="N58" s="108" t="s">
        <v>656</v>
      </c>
      <c r="O58" s="108">
        <v>9246293</v>
      </c>
      <c r="P58" s="108" t="s">
        <v>906</v>
      </c>
      <c r="Q58" s="108" t="s">
        <v>908</v>
      </c>
      <c r="AM58" s="14" t="s">
        <v>692</v>
      </c>
      <c r="AN58" s="14" t="s">
        <v>691</v>
      </c>
    </row>
    <row r="59" spans="2:40" ht="14.4">
      <c r="B59" s="106" t="s">
        <v>279</v>
      </c>
      <c r="C59" s="14" t="s">
        <v>280</v>
      </c>
      <c r="E59" s="17"/>
      <c r="K59" s="32" t="s">
        <v>410</v>
      </c>
      <c r="L59" s="39"/>
      <c r="N59" s="108" t="s">
        <v>254</v>
      </c>
      <c r="O59" s="108">
        <v>9156759</v>
      </c>
      <c r="P59" s="108" t="s">
        <v>657</v>
      </c>
      <c r="Q59" s="108" t="s">
        <v>253</v>
      </c>
      <c r="AM59" s="14" t="s">
        <v>671</v>
      </c>
      <c r="AN59" s="14" t="s">
        <v>670</v>
      </c>
    </row>
    <row r="60" spans="2:40" ht="14.4">
      <c r="B60" s="106" t="s">
        <v>411</v>
      </c>
      <c r="C60" s="14" t="s">
        <v>268</v>
      </c>
      <c r="E60" s="17"/>
      <c r="K60" s="32" t="s">
        <v>412</v>
      </c>
      <c r="L60" s="39"/>
      <c r="N60" s="108" t="s">
        <v>675</v>
      </c>
      <c r="O60" s="108">
        <v>9316945</v>
      </c>
      <c r="P60" s="108" t="s">
        <v>674</v>
      </c>
      <c r="Q60" s="108" t="s">
        <v>921</v>
      </c>
      <c r="AM60" s="14" t="s">
        <v>673</v>
      </c>
      <c r="AN60" s="14" t="s">
        <v>672</v>
      </c>
    </row>
    <row r="61" spans="2:40" ht="14.4">
      <c r="K61" s="32" t="s">
        <v>413</v>
      </c>
      <c r="L61" s="39"/>
      <c r="N61" s="108" t="s">
        <v>900</v>
      </c>
      <c r="O61" s="108">
        <v>9788679</v>
      </c>
      <c r="P61" s="108" t="s">
        <v>901</v>
      </c>
      <c r="Q61" s="108" t="s">
        <v>922</v>
      </c>
      <c r="AM61" s="14" t="s">
        <v>260</v>
      </c>
      <c r="AN61" s="14" t="s">
        <v>747</v>
      </c>
    </row>
    <row r="62" spans="2:40" ht="14.4">
      <c r="K62" s="32" t="s">
        <v>414</v>
      </c>
      <c r="L62" s="39"/>
      <c r="N62" s="108" t="s">
        <v>902</v>
      </c>
      <c r="O62" s="108">
        <v>9788681</v>
      </c>
      <c r="P62" s="108" t="s">
        <v>903</v>
      </c>
      <c r="Q62" s="108" t="s">
        <v>923</v>
      </c>
      <c r="AM62" s="14" t="s">
        <v>749</v>
      </c>
      <c r="AN62" s="14" t="s">
        <v>748</v>
      </c>
    </row>
    <row r="63" spans="2:40" ht="14.4">
      <c r="K63" s="32" t="s">
        <v>415</v>
      </c>
      <c r="L63" s="39"/>
      <c r="N63" s="108" t="s">
        <v>659</v>
      </c>
      <c r="O63" s="108">
        <v>9668051</v>
      </c>
      <c r="P63" s="108" t="s">
        <v>658</v>
      </c>
      <c r="Q63" s="108" t="s">
        <v>924</v>
      </c>
      <c r="AM63" s="14" t="s">
        <v>752</v>
      </c>
      <c r="AN63" s="14" t="s">
        <v>745</v>
      </c>
    </row>
    <row r="64" spans="2:40" ht="14.4">
      <c r="K64" s="32" t="s">
        <v>416</v>
      </c>
      <c r="L64" s="39"/>
      <c r="N64" s="108" t="s">
        <v>687</v>
      </c>
      <c r="O64" s="108">
        <v>9110107</v>
      </c>
      <c r="P64" s="108" t="s">
        <v>686</v>
      </c>
      <c r="Q64" s="108" t="s">
        <v>219</v>
      </c>
      <c r="AM64" s="14" t="s">
        <v>753</v>
      </c>
      <c r="AN64" s="14" t="s">
        <v>746</v>
      </c>
    </row>
    <row r="65" spans="5:40" ht="14.4">
      <c r="K65" s="32" t="s">
        <v>417</v>
      </c>
      <c r="L65" s="39"/>
      <c r="N65" s="108" t="s">
        <v>702</v>
      </c>
      <c r="O65" s="115">
        <v>9760782</v>
      </c>
      <c r="P65" s="115" t="s">
        <v>701</v>
      </c>
      <c r="Q65" s="115" t="s">
        <v>936</v>
      </c>
      <c r="AM65" s="14" t="s">
        <v>246</v>
      </c>
      <c r="AN65" s="14" t="s">
        <v>703</v>
      </c>
    </row>
    <row r="66" spans="5:40">
      <c r="K66" s="32" t="s">
        <v>418</v>
      </c>
      <c r="L66" s="39"/>
      <c r="N66" s="119" t="s">
        <v>1061</v>
      </c>
      <c r="O66" s="119">
        <v>9520376</v>
      </c>
      <c r="P66" s="119" t="s">
        <v>1062</v>
      </c>
      <c r="Q66" s="119" t="s">
        <v>1063</v>
      </c>
      <c r="AM66" s="14" t="s">
        <v>705</v>
      </c>
      <c r="AN66" s="14" t="s">
        <v>704</v>
      </c>
    </row>
    <row r="67" spans="5:40">
      <c r="E67" s="17"/>
      <c r="K67" s="32" t="s">
        <v>419</v>
      </c>
      <c r="L67" s="39"/>
      <c r="N67" s="119" t="s">
        <v>1065</v>
      </c>
      <c r="O67" s="119">
        <v>9425277</v>
      </c>
      <c r="P67" s="119" t="s">
        <v>1064</v>
      </c>
      <c r="Q67" s="119" t="s">
        <v>1066</v>
      </c>
      <c r="AM67" s="14" t="s">
        <v>707</v>
      </c>
      <c r="AN67" s="14" t="s">
        <v>706</v>
      </c>
    </row>
    <row r="68" spans="5:40" ht="14.4">
      <c r="E68" s="17"/>
      <c r="K68" s="32" t="s">
        <v>420</v>
      </c>
      <c r="L68" s="39"/>
      <c r="N68" s="108" t="s">
        <v>661</v>
      </c>
      <c r="O68" s="108">
        <v>9696797</v>
      </c>
      <c r="P68" s="108" t="s">
        <v>660</v>
      </c>
      <c r="Q68" s="108" t="s">
        <v>925</v>
      </c>
      <c r="AM68" s="14" t="s">
        <v>244</v>
      </c>
      <c r="AN68" s="14" t="s">
        <v>708</v>
      </c>
    </row>
    <row r="69" spans="5:40" ht="14.4">
      <c r="E69" s="17"/>
      <c r="K69" s="32" t="s">
        <v>421</v>
      </c>
      <c r="L69" s="39"/>
      <c r="N69" s="108" t="s">
        <v>689</v>
      </c>
      <c r="O69" s="108">
        <v>9460887</v>
      </c>
      <c r="P69" s="108" t="s">
        <v>688</v>
      </c>
      <c r="Q69" s="108" t="s">
        <v>284</v>
      </c>
      <c r="AM69" s="14" t="s">
        <v>279</v>
      </c>
      <c r="AN69" s="14" t="s">
        <v>709</v>
      </c>
    </row>
    <row r="70" spans="5:40" ht="14.4">
      <c r="E70" s="17"/>
      <c r="K70" s="32" t="s">
        <v>422</v>
      </c>
      <c r="L70" s="39"/>
      <c r="N70" s="108" t="s">
        <v>663</v>
      </c>
      <c r="O70" s="108">
        <v>9514391</v>
      </c>
      <c r="P70" s="108" t="s">
        <v>662</v>
      </c>
      <c r="Q70" s="108" t="s">
        <v>292</v>
      </c>
    </row>
    <row r="71" spans="5:40" ht="14.4">
      <c r="E71" s="17"/>
      <c r="K71" s="32" t="s">
        <v>423</v>
      </c>
      <c r="L71" s="39"/>
      <c r="N71" s="108" t="s">
        <v>740</v>
      </c>
      <c r="O71" s="115">
        <v>9793375</v>
      </c>
      <c r="P71" s="115" t="s">
        <v>739</v>
      </c>
      <c r="Q71" s="115" t="s">
        <v>945</v>
      </c>
    </row>
    <row r="72" spans="5:40" ht="14.4">
      <c r="E72" s="17"/>
      <c r="K72" s="32" t="s">
        <v>424</v>
      </c>
      <c r="L72" s="39"/>
      <c r="N72" s="108" t="s">
        <v>742</v>
      </c>
      <c r="O72" s="115">
        <v>9793387</v>
      </c>
      <c r="P72" s="115" t="s">
        <v>741</v>
      </c>
      <c r="Q72" s="115" t="s">
        <v>946</v>
      </c>
    </row>
    <row r="73" spans="5:40" ht="14.4">
      <c r="K73" s="32" t="s">
        <v>425</v>
      </c>
      <c r="L73" s="39"/>
      <c r="N73" s="108" t="s">
        <v>665</v>
      </c>
      <c r="O73" s="108">
        <v>9552331</v>
      </c>
      <c r="P73" s="108" t="s">
        <v>664</v>
      </c>
      <c r="Q73" s="108" t="s">
        <v>926</v>
      </c>
    </row>
    <row r="74" spans="5:40" ht="14.4">
      <c r="K74" s="32" t="s">
        <v>426</v>
      </c>
      <c r="L74" s="39"/>
      <c r="N74" s="108" t="s">
        <v>667</v>
      </c>
      <c r="O74" s="108">
        <v>9621247</v>
      </c>
      <c r="P74" s="108" t="s">
        <v>666</v>
      </c>
      <c r="Q74" s="108" t="s">
        <v>927</v>
      </c>
    </row>
    <row r="75" spans="5:40" ht="14.4">
      <c r="K75" s="32" t="s">
        <v>803</v>
      </c>
      <c r="L75" s="39"/>
      <c r="N75" s="108" t="s">
        <v>258</v>
      </c>
      <c r="O75" s="108">
        <v>9293648</v>
      </c>
      <c r="P75" s="108" t="s">
        <v>690</v>
      </c>
      <c r="Q75" s="108" t="s">
        <v>257</v>
      </c>
    </row>
    <row r="76" spans="5:40" ht="14.4">
      <c r="K76" s="37" t="s">
        <v>334</v>
      </c>
      <c r="L76" s="39"/>
      <c r="N76" s="108" t="s">
        <v>1081</v>
      </c>
      <c r="O76" s="108">
        <v>9894480</v>
      </c>
      <c r="P76" s="108" t="s">
        <v>1082</v>
      </c>
      <c r="Q76" s="108" t="s">
        <v>1083</v>
      </c>
    </row>
    <row r="77" spans="5:40" ht="14.4">
      <c r="K77" s="37" t="s">
        <v>427</v>
      </c>
      <c r="L77" s="39"/>
      <c r="N77" s="108" t="s">
        <v>669</v>
      </c>
      <c r="O77" s="108">
        <v>9806768</v>
      </c>
      <c r="P77" s="108" t="s">
        <v>668</v>
      </c>
      <c r="Q77" s="108" t="s">
        <v>928</v>
      </c>
    </row>
    <row r="78" spans="5:40" ht="14.4">
      <c r="K78" s="37" t="s">
        <v>171</v>
      </c>
      <c r="L78" s="39"/>
      <c r="N78" s="108" t="s">
        <v>744</v>
      </c>
      <c r="O78" s="115">
        <v>9771028</v>
      </c>
      <c r="P78" s="115" t="s">
        <v>907</v>
      </c>
      <c r="Q78" s="115" t="s">
        <v>952</v>
      </c>
    </row>
    <row r="79" spans="5:40" ht="14.4">
      <c r="K79" s="37" t="s">
        <v>428</v>
      </c>
      <c r="L79" s="39"/>
      <c r="N79" s="108" t="s">
        <v>692</v>
      </c>
      <c r="O79" s="108">
        <v>9267687</v>
      </c>
      <c r="P79" s="108" t="s">
        <v>691</v>
      </c>
      <c r="Q79" s="108" t="s">
        <v>225</v>
      </c>
    </row>
    <row r="80" spans="5:40" ht="14.4">
      <c r="K80" s="37" t="s">
        <v>429</v>
      </c>
      <c r="L80" s="39"/>
      <c r="N80" s="118" t="s">
        <v>1097</v>
      </c>
      <c r="O80" s="108">
        <v>9903140</v>
      </c>
      <c r="P80" s="119" t="s">
        <v>1099</v>
      </c>
      <c r="Q80" s="121" t="s">
        <v>1098</v>
      </c>
    </row>
    <row r="81" spans="11:17" ht="14.4">
      <c r="K81" s="37" t="s">
        <v>430</v>
      </c>
      <c r="L81" s="39"/>
      <c r="N81" s="108" t="s">
        <v>1100</v>
      </c>
      <c r="O81" s="108">
        <v>9767467</v>
      </c>
      <c r="P81" s="108" t="s">
        <v>1084</v>
      </c>
      <c r="Q81" s="108" t="s">
        <v>1085</v>
      </c>
    </row>
    <row r="82" spans="11:17" ht="14.4">
      <c r="K82" s="37" t="s">
        <v>431</v>
      </c>
      <c r="L82" s="39"/>
      <c r="N82" s="108" t="s">
        <v>671</v>
      </c>
      <c r="O82" s="108">
        <v>9666510</v>
      </c>
      <c r="P82" s="108" t="s">
        <v>670</v>
      </c>
      <c r="Q82" s="108" t="s">
        <v>929</v>
      </c>
    </row>
    <row r="83" spans="11:17" ht="14.4">
      <c r="K83" s="37" t="s">
        <v>432</v>
      </c>
      <c r="L83" s="39"/>
      <c r="N83" s="108" t="s">
        <v>969</v>
      </c>
      <c r="O83" s="115">
        <v>9859181</v>
      </c>
      <c r="P83" s="115" t="s">
        <v>970</v>
      </c>
      <c r="Q83" s="115" t="s">
        <v>971</v>
      </c>
    </row>
    <row r="84" spans="11:17" ht="14.4">
      <c r="K84" s="37" t="s">
        <v>433</v>
      </c>
      <c r="L84" s="39"/>
      <c r="N84" s="108" t="s">
        <v>673</v>
      </c>
      <c r="O84" s="108">
        <v>9748124</v>
      </c>
      <c r="P84" s="108" t="s">
        <v>672</v>
      </c>
      <c r="Q84" s="108" t="s">
        <v>930</v>
      </c>
    </row>
    <row r="85" spans="11:17" ht="14.4">
      <c r="K85" s="37" t="s">
        <v>434</v>
      </c>
      <c r="L85" s="39"/>
      <c r="N85" s="108" t="s">
        <v>260</v>
      </c>
      <c r="O85" s="108">
        <v>9123934</v>
      </c>
      <c r="P85" s="108" t="s">
        <v>747</v>
      </c>
      <c r="Q85" s="108" t="s">
        <v>259</v>
      </c>
    </row>
    <row r="86" spans="11:17" ht="14.4">
      <c r="K86" s="37" t="s">
        <v>435</v>
      </c>
      <c r="L86" s="39"/>
      <c r="N86" s="108" t="s">
        <v>981</v>
      </c>
      <c r="O86" s="115">
        <v>9882425</v>
      </c>
      <c r="P86" s="115" t="s">
        <v>988</v>
      </c>
      <c r="Q86" s="115" t="s">
        <v>1053</v>
      </c>
    </row>
    <row r="87" spans="11:17" ht="14.4">
      <c r="K87" s="37" t="s">
        <v>436</v>
      </c>
      <c r="L87" s="39"/>
      <c r="N87" s="108" t="s">
        <v>977</v>
      </c>
      <c r="O87" s="115">
        <v>9882396</v>
      </c>
      <c r="P87" s="115" t="s">
        <v>984</v>
      </c>
      <c r="Q87" s="115" t="s">
        <v>1054</v>
      </c>
    </row>
    <row r="88" spans="11:17" ht="14.4">
      <c r="K88" s="37" t="s">
        <v>437</v>
      </c>
      <c r="L88" s="39"/>
      <c r="N88" s="108" t="s">
        <v>979</v>
      </c>
      <c r="O88" s="115">
        <v>9882413</v>
      </c>
      <c r="P88" s="115" t="s">
        <v>986</v>
      </c>
      <c r="Q88" s="115" t="s">
        <v>1055</v>
      </c>
    </row>
    <row r="89" spans="11:17" ht="14.4">
      <c r="K89" s="37" t="s">
        <v>438</v>
      </c>
      <c r="L89" s="39"/>
      <c r="N89" s="108" t="s">
        <v>978</v>
      </c>
      <c r="O89" s="115">
        <v>9882401</v>
      </c>
      <c r="P89" s="115" t="s">
        <v>985</v>
      </c>
      <c r="Q89" s="115" t="s">
        <v>1056</v>
      </c>
    </row>
    <row r="90" spans="11:17" ht="14.4">
      <c r="K90" s="37" t="s">
        <v>439</v>
      </c>
      <c r="L90" s="39"/>
      <c r="N90" s="108" t="s">
        <v>749</v>
      </c>
      <c r="O90" s="108">
        <v>9344071</v>
      </c>
      <c r="P90" s="108" t="s">
        <v>748</v>
      </c>
      <c r="Q90" s="108" t="s">
        <v>401</v>
      </c>
    </row>
    <row r="91" spans="11:17" ht="14.4">
      <c r="K91" s="37" t="s">
        <v>440</v>
      </c>
      <c r="L91" s="39"/>
      <c r="N91" s="108" t="s">
        <v>964</v>
      </c>
      <c r="O91" s="115">
        <v>9790361</v>
      </c>
      <c r="P91" s="115" t="s">
        <v>745</v>
      </c>
      <c r="Q91" s="115" t="s">
        <v>947</v>
      </c>
    </row>
    <row r="92" spans="11:17" ht="14.4">
      <c r="K92" s="37" t="s">
        <v>441</v>
      </c>
      <c r="L92" s="39"/>
      <c r="N92" s="108" t="s">
        <v>963</v>
      </c>
      <c r="O92" s="115">
        <v>9790373</v>
      </c>
      <c r="P92" s="115" t="s">
        <v>746</v>
      </c>
      <c r="Q92" s="115" t="s">
        <v>948</v>
      </c>
    </row>
    <row r="93" spans="11:17" ht="14.4">
      <c r="K93" s="37" t="s">
        <v>442</v>
      </c>
      <c r="L93" s="39"/>
      <c r="N93" s="108" t="s">
        <v>246</v>
      </c>
      <c r="O93" s="115">
        <v>9339973</v>
      </c>
      <c r="P93" s="115" t="s">
        <v>703</v>
      </c>
      <c r="Q93" s="115" t="s">
        <v>245</v>
      </c>
    </row>
    <row r="94" spans="11:17" ht="14.4">
      <c r="K94" s="37" t="s">
        <v>443</v>
      </c>
      <c r="L94" s="39"/>
      <c r="N94" s="108" t="s">
        <v>705</v>
      </c>
      <c r="O94" s="115">
        <v>9770696</v>
      </c>
      <c r="P94" s="115" t="s">
        <v>704</v>
      </c>
      <c r="Q94" s="115" t="s">
        <v>937</v>
      </c>
    </row>
    <row r="95" spans="11:17" ht="14.4">
      <c r="K95" s="37" t="s">
        <v>444</v>
      </c>
      <c r="L95" s="39"/>
      <c r="N95" s="108" t="s">
        <v>707</v>
      </c>
      <c r="O95" s="115">
        <v>9787754</v>
      </c>
      <c r="P95" s="115" t="s">
        <v>706</v>
      </c>
      <c r="Q95" s="115" t="s">
        <v>938</v>
      </c>
    </row>
    <row r="96" spans="11:17" ht="14.4">
      <c r="K96" s="37" t="s">
        <v>445</v>
      </c>
      <c r="L96" s="39"/>
      <c r="N96" s="108" t="s">
        <v>244</v>
      </c>
      <c r="O96" s="115">
        <v>9311270</v>
      </c>
      <c r="P96" s="115" t="s">
        <v>708</v>
      </c>
      <c r="Q96" s="115" t="s">
        <v>243</v>
      </c>
    </row>
    <row r="97" spans="11:17" ht="14.4">
      <c r="K97" s="37" t="s">
        <v>446</v>
      </c>
      <c r="L97" s="39"/>
      <c r="N97" s="108" t="s">
        <v>279</v>
      </c>
      <c r="O97" s="115">
        <v>9387267</v>
      </c>
      <c r="P97" s="115" t="s">
        <v>709</v>
      </c>
      <c r="Q97" s="115" t="s">
        <v>280</v>
      </c>
    </row>
    <row r="98" spans="11:17" ht="14.4">
      <c r="K98" s="37" t="s">
        <v>447</v>
      </c>
      <c r="L98" s="39"/>
      <c r="N98" s="108" t="s">
        <v>1092</v>
      </c>
      <c r="O98" s="108">
        <v>9875226</v>
      </c>
      <c r="P98" s="108" t="s">
        <v>1090</v>
      </c>
      <c r="Q98" s="108" t="s">
        <v>1091</v>
      </c>
    </row>
    <row r="99" spans="11:17">
      <c r="K99" s="37" t="s">
        <v>448</v>
      </c>
      <c r="L99" s="39"/>
    </row>
    <row r="100" spans="11:17">
      <c r="K100" s="38" t="s">
        <v>333</v>
      </c>
      <c r="L100" s="39"/>
    </row>
    <row r="101" spans="11:17">
      <c r="K101" s="38" t="s">
        <v>449</v>
      </c>
      <c r="L101" s="39"/>
    </row>
    <row r="102" spans="11:17">
      <c r="K102" s="38" t="s">
        <v>450</v>
      </c>
      <c r="L102" s="39"/>
    </row>
    <row r="103" spans="11:17">
      <c r="K103" s="38" t="s">
        <v>451</v>
      </c>
      <c r="L103" s="39"/>
    </row>
    <row r="104" spans="11:17">
      <c r="K104" s="38" t="s">
        <v>452</v>
      </c>
      <c r="L104" s="39"/>
    </row>
    <row r="105" spans="11:17">
      <c r="K105" s="38" t="s">
        <v>453</v>
      </c>
      <c r="L105" s="39"/>
    </row>
    <row r="106" spans="11:17">
      <c r="K106" s="38" t="s">
        <v>454</v>
      </c>
      <c r="L106" s="39"/>
    </row>
    <row r="107" spans="11:17">
      <c r="K107" s="38" t="s">
        <v>455</v>
      </c>
      <c r="L107" s="39"/>
    </row>
    <row r="108" spans="11:17">
      <c r="K108" s="38" t="s">
        <v>456</v>
      </c>
      <c r="L108" s="39"/>
    </row>
    <row r="109" spans="11:17">
      <c r="K109" s="38" t="s">
        <v>457</v>
      </c>
      <c r="L109" s="39"/>
    </row>
    <row r="110" spans="11:17">
      <c r="K110" s="38" t="s">
        <v>458</v>
      </c>
      <c r="L110" s="39"/>
    </row>
    <row r="111" spans="11:17">
      <c r="K111" s="38" t="s">
        <v>459</v>
      </c>
      <c r="L111" s="39"/>
    </row>
    <row r="112" spans="11:17">
      <c r="K112" s="38" t="s">
        <v>460</v>
      </c>
      <c r="L112" s="39"/>
    </row>
    <row r="113" spans="11:12">
      <c r="K113" s="38" t="s">
        <v>461</v>
      </c>
      <c r="L113" s="39"/>
    </row>
    <row r="114" spans="11:12">
      <c r="K114" s="38" t="s">
        <v>462</v>
      </c>
      <c r="L114" s="39"/>
    </row>
    <row r="115" spans="11:12">
      <c r="K115" s="38" t="s">
        <v>463</v>
      </c>
      <c r="L115" s="39"/>
    </row>
    <row r="116" spans="11:12">
      <c r="K116" s="38" t="s">
        <v>464</v>
      </c>
      <c r="L116" s="39"/>
    </row>
    <row r="117" spans="11:12">
      <c r="K117" s="38" t="s">
        <v>465</v>
      </c>
      <c r="L117" s="39"/>
    </row>
    <row r="118" spans="11:12">
      <c r="K118" s="38" t="s">
        <v>466</v>
      </c>
      <c r="L118" s="39"/>
    </row>
    <row r="119" spans="11:12">
      <c r="K119" s="38" t="s">
        <v>467</v>
      </c>
      <c r="L119" s="39"/>
    </row>
    <row r="120" spans="11:12">
      <c r="K120" s="38" t="s">
        <v>468</v>
      </c>
      <c r="L120" s="39"/>
    </row>
    <row r="121" spans="11:12">
      <c r="K121" s="38" t="s">
        <v>469</v>
      </c>
      <c r="L121" s="39"/>
    </row>
    <row r="122" spans="11:12">
      <c r="K122" s="38" t="s">
        <v>470</v>
      </c>
      <c r="L122" s="39"/>
    </row>
    <row r="123" spans="11:12">
      <c r="K123" s="38" t="s">
        <v>471</v>
      </c>
      <c r="L123" s="39"/>
    </row>
    <row r="124" spans="11:12">
      <c r="K124" s="40" t="s">
        <v>53</v>
      </c>
      <c r="L124" s="39"/>
    </row>
    <row r="125" spans="11:12">
      <c r="K125" s="41" t="s">
        <v>54</v>
      </c>
      <c r="L125" s="39"/>
    </row>
    <row r="126" spans="11:12">
      <c r="K126" s="41" t="s">
        <v>55</v>
      </c>
      <c r="L126" s="39"/>
    </row>
    <row r="127" spans="11:12">
      <c r="K127" s="41" t="s">
        <v>56</v>
      </c>
      <c r="L127" s="39"/>
    </row>
    <row r="128" spans="11:12">
      <c r="K128" s="41" t="s">
        <v>57</v>
      </c>
      <c r="L128" s="39"/>
    </row>
    <row r="129" spans="11:12">
      <c r="K129" s="41" t="s">
        <v>58</v>
      </c>
      <c r="L129" s="39"/>
    </row>
    <row r="130" spans="11:12">
      <c r="K130" s="42" t="s">
        <v>59</v>
      </c>
      <c r="L130" s="39"/>
    </row>
    <row r="131" spans="11:12">
      <c r="K131" s="40" t="s">
        <v>172</v>
      </c>
      <c r="L131" s="39"/>
    </row>
    <row r="132" spans="11:12">
      <c r="K132" s="41" t="s">
        <v>173</v>
      </c>
      <c r="L132" s="39"/>
    </row>
    <row r="133" spans="11:12">
      <c r="K133" s="41" t="s">
        <v>60</v>
      </c>
      <c r="L133" s="39"/>
    </row>
    <row r="134" spans="11:12">
      <c r="K134" s="41" t="s">
        <v>61</v>
      </c>
      <c r="L134" s="39"/>
    </row>
    <row r="135" spans="11:12">
      <c r="K135" s="41" t="s">
        <v>62</v>
      </c>
      <c r="L135" s="39"/>
    </row>
    <row r="136" spans="11:12">
      <c r="K136" s="41" t="s">
        <v>63</v>
      </c>
      <c r="L136" s="39"/>
    </row>
    <row r="137" spans="11:12">
      <c r="K137" s="42" t="s">
        <v>64</v>
      </c>
      <c r="L137" s="39"/>
    </row>
    <row r="138" spans="11:12">
      <c r="K138" s="40" t="s">
        <v>174</v>
      </c>
      <c r="L138" s="39"/>
    </row>
    <row r="139" spans="11:12">
      <c r="K139" s="41" t="s">
        <v>65</v>
      </c>
      <c r="L139" s="39"/>
    </row>
    <row r="140" spans="11:12">
      <c r="K140" s="41" t="s">
        <v>66</v>
      </c>
      <c r="L140" s="39"/>
    </row>
    <row r="141" spans="11:12">
      <c r="K141" s="41" t="s">
        <v>67</v>
      </c>
      <c r="L141" s="39"/>
    </row>
    <row r="142" spans="11:12">
      <c r="K142" s="41" t="s">
        <v>68</v>
      </c>
      <c r="L142" s="39"/>
    </row>
    <row r="143" spans="11:12">
      <c r="K143" s="41" t="s">
        <v>69</v>
      </c>
      <c r="L143" s="39"/>
    </row>
    <row r="144" spans="11:12">
      <c r="K144" s="41" t="s">
        <v>175</v>
      </c>
      <c r="L144" s="39"/>
    </row>
    <row r="145" spans="11:12">
      <c r="K145" s="41" t="s">
        <v>70</v>
      </c>
      <c r="L145" s="39"/>
    </row>
    <row r="146" spans="11:12">
      <c r="K146" s="41" t="s">
        <v>71</v>
      </c>
      <c r="L146" s="39"/>
    </row>
    <row r="147" spans="11:12">
      <c r="K147" s="42" t="s">
        <v>176</v>
      </c>
      <c r="L147" s="39"/>
    </row>
    <row r="148" spans="11:12">
      <c r="K148" s="40" t="s">
        <v>72</v>
      </c>
      <c r="L148" s="39"/>
    </row>
    <row r="149" spans="11:12">
      <c r="K149" s="41" t="s">
        <v>73</v>
      </c>
      <c r="L149" s="39"/>
    </row>
    <row r="150" spans="11:12">
      <c r="K150" s="41" t="s">
        <v>74</v>
      </c>
      <c r="L150" s="39"/>
    </row>
    <row r="151" spans="11:12">
      <c r="K151" s="41" t="s">
        <v>75</v>
      </c>
      <c r="L151" s="39"/>
    </row>
    <row r="152" spans="11:12">
      <c r="K152" s="42" t="s">
        <v>76</v>
      </c>
      <c r="L152" s="39"/>
    </row>
    <row r="153" spans="11:12">
      <c r="K153" s="40" t="s">
        <v>77</v>
      </c>
      <c r="L153" s="39"/>
    </row>
    <row r="154" spans="11:12">
      <c r="K154" s="41" t="s">
        <v>78</v>
      </c>
      <c r="L154" s="39"/>
    </row>
    <row r="155" spans="11:12">
      <c r="K155" s="42" t="s">
        <v>79</v>
      </c>
      <c r="L155" s="39"/>
    </row>
    <row r="156" spans="11:12">
      <c r="K156" s="43" t="s">
        <v>80</v>
      </c>
      <c r="L156" s="39"/>
    </row>
    <row r="157" spans="11:12">
      <c r="K157" s="43" t="s">
        <v>81</v>
      </c>
      <c r="L157" s="39"/>
    </row>
    <row r="158" spans="11:12">
      <c r="K158" s="43" t="s">
        <v>177</v>
      </c>
      <c r="L158" s="39"/>
    </row>
    <row r="159" spans="11:12">
      <c r="K159" s="43" t="s">
        <v>82</v>
      </c>
      <c r="L159" s="39"/>
    </row>
    <row r="160" spans="11:12">
      <c r="K160" s="43" t="s">
        <v>83</v>
      </c>
      <c r="L160" s="39"/>
    </row>
    <row r="161" spans="11:12">
      <c r="K161" s="40" t="s">
        <v>84</v>
      </c>
      <c r="L161" s="39"/>
    </row>
    <row r="162" spans="11:12">
      <c r="K162" s="41" t="s">
        <v>85</v>
      </c>
      <c r="L162" s="39"/>
    </row>
    <row r="163" spans="11:12">
      <c r="K163" s="41" t="s">
        <v>86</v>
      </c>
      <c r="L163" s="39"/>
    </row>
    <row r="164" spans="11:12">
      <c r="K164" s="41" t="s">
        <v>87</v>
      </c>
      <c r="L164" s="39"/>
    </row>
    <row r="165" spans="11:12">
      <c r="K165" s="41" t="s">
        <v>88</v>
      </c>
      <c r="L165" s="39"/>
    </row>
    <row r="166" spans="11:12">
      <c r="K166" s="41" t="s">
        <v>89</v>
      </c>
      <c r="L166" s="39"/>
    </row>
    <row r="167" spans="11:12">
      <c r="K167" s="41" t="s">
        <v>90</v>
      </c>
      <c r="L167" s="39"/>
    </row>
    <row r="168" spans="11:12">
      <c r="K168" s="41" t="s">
        <v>91</v>
      </c>
      <c r="L168" s="39"/>
    </row>
    <row r="169" spans="11:12">
      <c r="K169" s="41" t="s">
        <v>92</v>
      </c>
      <c r="L169" s="39"/>
    </row>
    <row r="170" spans="11:12">
      <c r="K170" s="41" t="s">
        <v>93</v>
      </c>
      <c r="L170" s="39"/>
    </row>
    <row r="171" spans="11:12">
      <c r="K171" s="41" t="s">
        <v>94</v>
      </c>
      <c r="L171" s="39"/>
    </row>
    <row r="172" spans="11:12">
      <c r="K172" s="41" t="s">
        <v>95</v>
      </c>
      <c r="L172" s="39"/>
    </row>
    <row r="173" spans="11:12">
      <c r="K173" s="41" t="s">
        <v>96</v>
      </c>
      <c r="L173" s="39"/>
    </row>
    <row r="174" spans="11:12">
      <c r="K174" s="41" t="s">
        <v>97</v>
      </c>
      <c r="L174" s="39"/>
    </row>
    <row r="175" spans="11:12">
      <c r="K175" s="41" t="s">
        <v>98</v>
      </c>
      <c r="L175" s="39"/>
    </row>
    <row r="176" spans="11:12">
      <c r="K176" s="41" t="s">
        <v>178</v>
      </c>
      <c r="L176" s="39"/>
    </row>
    <row r="177" spans="11:12">
      <c r="K177" s="41" t="s">
        <v>99</v>
      </c>
      <c r="L177" s="39"/>
    </row>
    <row r="178" spans="11:12">
      <c r="K178" s="42" t="s">
        <v>100</v>
      </c>
      <c r="L178" s="39"/>
    </row>
    <row r="179" spans="11:12">
      <c r="K179" s="40" t="s">
        <v>101</v>
      </c>
      <c r="L179" s="39"/>
    </row>
    <row r="180" spans="11:12">
      <c r="K180" s="41" t="s">
        <v>102</v>
      </c>
      <c r="L180" s="39"/>
    </row>
    <row r="181" spans="11:12">
      <c r="K181" s="41" t="s">
        <v>103</v>
      </c>
      <c r="L181" s="39"/>
    </row>
    <row r="182" spans="11:12">
      <c r="K182" s="41" t="s">
        <v>104</v>
      </c>
      <c r="L182" s="39"/>
    </row>
    <row r="183" spans="11:12">
      <c r="K183" s="41" t="s">
        <v>105</v>
      </c>
      <c r="L183" s="39"/>
    </row>
    <row r="184" spans="11:12">
      <c r="K184" s="41" t="s">
        <v>106</v>
      </c>
    </row>
    <row r="185" spans="11:12">
      <c r="K185" s="41" t="s">
        <v>107</v>
      </c>
    </row>
    <row r="186" spans="11:12">
      <c r="K186" s="41" t="s">
        <v>108</v>
      </c>
    </row>
    <row r="187" spans="11:12">
      <c r="K187" s="41" t="s">
        <v>109</v>
      </c>
    </row>
    <row r="188" spans="11:12">
      <c r="K188" s="41" t="s">
        <v>110</v>
      </c>
    </row>
    <row r="189" spans="11:12">
      <c r="K189" s="41" t="s">
        <v>111</v>
      </c>
    </row>
    <row r="190" spans="11:12">
      <c r="K190" s="41" t="s">
        <v>112</v>
      </c>
    </row>
    <row r="191" spans="11:12">
      <c r="K191" s="41" t="s">
        <v>113</v>
      </c>
    </row>
    <row r="192" spans="11:12">
      <c r="K192" s="41" t="s">
        <v>179</v>
      </c>
    </row>
    <row r="193" spans="11:11">
      <c r="K193" s="42" t="s">
        <v>114</v>
      </c>
    </row>
    <row r="194" spans="11:11">
      <c r="K194" s="40" t="s">
        <v>115</v>
      </c>
    </row>
    <row r="195" spans="11:11">
      <c r="K195" s="41" t="s">
        <v>116</v>
      </c>
    </row>
    <row r="196" spans="11:11">
      <c r="K196" s="41" t="s">
        <v>117</v>
      </c>
    </row>
    <row r="197" spans="11:11">
      <c r="K197" s="41" t="s">
        <v>118</v>
      </c>
    </row>
    <row r="198" spans="11:11">
      <c r="K198" s="41" t="s">
        <v>119</v>
      </c>
    </row>
    <row r="199" spans="11:11">
      <c r="K199" s="41" t="s">
        <v>120</v>
      </c>
    </row>
    <row r="200" spans="11:11">
      <c r="K200" s="42" t="s">
        <v>121</v>
      </c>
    </row>
    <row r="201" spans="11:11">
      <c r="K201" s="40" t="s">
        <v>122</v>
      </c>
    </row>
    <row r="202" spans="11:11">
      <c r="K202" s="41" t="s">
        <v>123</v>
      </c>
    </row>
    <row r="203" spans="11:11">
      <c r="K203" s="41" t="s">
        <v>124</v>
      </c>
    </row>
    <row r="204" spans="11:11">
      <c r="K204" s="41" t="s">
        <v>125</v>
      </c>
    </row>
    <row r="205" spans="11:11">
      <c r="K205" s="41" t="s">
        <v>180</v>
      </c>
    </row>
    <row r="206" spans="11:11">
      <c r="K206" s="41" t="s">
        <v>126</v>
      </c>
    </row>
    <row r="207" spans="11:11">
      <c r="K207" s="41" t="s">
        <v>181</v>
      </c>
    </row>
    <row r="208" spans="11:11">
      <c r="K208" s="41" t="s">
        <v>182</v>
      </c>
    </row>
    <row r="209" spans="11:11">
      <c r="K209" s="41" t="s">
        <v>183</v>
      </c>
    </row>
    <row r="210" spans="11:11">
      <c r="K210" s="41" t="s">
        <v>127</v>
      </c>
    </row>
    <row r="211" spans="11:11">
      <c r="K211" s="41" t="s">
        <v>184</v>
      </c>
    </row>
    <row r="212" spans="11:11">
      <c r="K212" s="41" t="s">
        <v>128</v>
      </c>
    </row>
    <row r="213" spans="11:11">
      <c r="K213" s="41" t="s">
        <v>185</v>
      </c>
    </row>
    <row r="214" spans="11:11">
      <c r="K214" s="41" t="s">
        <v>129</v>
      </c>
    </row>
    <row r="215" spans="11:11">
      <c r="K215" s="41" t="s">
        <v>130</v>
      </c>
    </row>
    <row r="216" spans="11:11">
      <c r="K216" s="41" t="s">
        <v>131</v>
      </c>
    </row>
    <row r="217" spans="11:11">
      <c r="K217" s="41" t="s">
        <v>132</v>
      </c>
    </row>
    <row r="218" spans="11:11">
      <c r="K218" s="41" t="s">
        <v>186</v>
      </c>
    </row>
    <row r="219" spans="11:11">
      <c r="K219" s="41" t="s">
        <v>187</v>
      </c>
    </row>
    <row r="220" spans="11:11">
      <c r="K220" s="41" t="s">
        <v>133</v>
      </c>
    </row>
    <row r="221" spans="11:11">
      <c r="K221" s="42" t="s">
        <v>188</v>
      </c>
    </row>
    <row r="222" spans="11:11">
      <c r="K222" s="40" t="s">
        <v>134</v>
      </c>
    </row>
    <row r="223" spans="11:11">
      <c r="K223" s="41" t="s">
        <v>135</v>
      </c>
    </row>
    <row r="224" spans="11:11">
      <c r="K224" s="41" t="s">
        <v>136</v>
      </c>
    </row>
    <row r="225" spans="11:11">
      <c r="K225" s="41" t="s">
        <v>137</v>
      </c>
    </row>
    <row r="226" spans="11:11">
      <c r="K226" s="41" t="s">
        <v>138</v>
      </c>
    </row>
    <row r="227" spans="11:11">
      <c r="K227" s="41" t="s">
        <v>139</v>
      </c>
    </row>
    <row r="228" spans="11:11">
      <c r="K228" s="41" t="s">
        <v>140</v>
      </c>
    </row>
    <row r="229" spans="11:11">
      <c r="K229" s="42" t="s">
        <v>141</v>
      </c>
    </row>
    <row r="230" spans="11:11">
      <c r="K230" s="43" t="s">
        <v>142</v>
      </c>
    </row>
    <row r="231" spans="11:11">
      <c r="K231" s="43" t="s">
        <v>143</v>
      </c>
    </row>
    <row r="232" spans="11:11">
      <c r="K232" s="40" t="s">
        <v>144</v>
      </c>
    </row>
    <row r="233" spans="11:11">
      <c r="K233" s="41" t="s">
        <v>145</v>
      </c>
    </row>
    <row r="234" spans="11:11">
      <c r="K234" s="41" t="s">
        <v>146</v>
      </c>
    </row>
    <row r="235" spans="11:11">
      <c r="K235" s="41" t="s">
        <v>147</v>
      </c>
    </row>
    <row r="236" spans="11:11">
      <c r="K236" s="41" t="s">
        <v>148</v>
      </c>
    </row>
    <row r="237" spans="11:11">
      <c r="K237" s="41" t="s">
        <v>189</v>
      </c>
    </row>
    <row r="238" spans="11:11">
      <c r="K238" s="41" t="s">
        <v>149</v>
      </c>
    </row>
    <row r="239" spans="11:11">
      <c r="K239" s="42" t="s">
        <v>150</v>
      </c>
    </row>
    <row r="240" spans="11:11">
      <c r="K240" s="40" t="s">
        <v>151</v>
      </c>
    </row>
    <row r="241" spans="11:11">
      <c r="K241" s="41" t="s">
        <v>152</v>
      </c>
    </row>
    <row r="242" spans="11:11">
      <c r="K242" s="41" t="s">
        <v>153</v>
      </c>
    </row>
    <row r="243" spans="11:11">
      <c r="K243" s="41" t="s">
        <v>154</v>
      </c>
    </row>
    <row r="244" spans="11:11">
      <c r="K244" s="41" t="s">
        <v>155</v>
      </c>
    </row>
    <row r="245" spans="11:11">
      <c r="K245" s="41" t="s">
        <v>156</v>
      </c>
    </row>
    <row r="246" spans="11:11">
      <c r="K246" s="41" t="s">
        <v>328</v>
      </c>
    </row>
    <row r="247" spans="11:11">
      <c r="K247" s="41" t="s">
        <v>329</v>
      </c>
    </row>
    <row r="248" spans="11:11">
      <c r="K248" s="41" t="s">
        <v>330</v>
      </c>
    </row>
    <row r="249" spans="11:11">
      <c r="K249" s="41" t="s">
        <v>331</v>
      </c>
    </row>
    <row r="250" spans="11:11">
      <c r="K250" s="42" t="s">
        <v>332</v>
      </c>
    </row>
    <row r="251" spans="11:11">
      <c r="K251" s="40" t="s">
        <v>157</v>
      </c>
    </row>
    <row r="252" spans="11:11">
      <c r="K252" s="41" t="s">
        <v>158</v>
      </c>
    </row>
    <row r="253" spans="11:11">
      <c r="K253" s="41" t="s">
        <v>159</v>
      </c>
    </row>
    <row r="254" spans="11:11">
      <c r="K254" s="41" t="s">
        <v>160</v>
      </c>
    </row>
    <row r="255" spans="11:11">
      <c r="K255" s="41" t="s">
        <v>161</v>
      </c>
    </row>
    <row r="256" spans="11:11">
      <c r="K256" s="42" t="s">
        <v>162</v>
      </c>
    </row>
    <row r="257" spans="11:11">
      <c r="K257" s="40" t="s">
        <v>190</v>
      </c>
    </row>
    <row r="258" spans="11:11">
      <c r="K258" s="41" t="s">
        <v>163</v>
      </c>
    </row>
    <row r="259" spans="11:11">
      <c r="K259" s="41" t="s">
        <v>164</v>
      </c>
    </row>
    <row r="260" spans="11:11">
      <c r="K260" s="42" t="s">
        <v>165</v>
      </c>
    </row>
    <row r="261" spans="11:11">
      <c r="K261" s="40" t="s">
        <v>191</v>
      </c>
    </row>
    <row r="262" spans="11:11">
      <c r="K262" s="42" t="s">
        <v>166</v>
      </c>
    </row>
    <row r="263" spans="11:11">
      <c r="K263" s="98" t="s">
        <v>967</v>
      </c>
    </row>
    <row r="264" spans="11:11">
      <c r="K264" s="44" t="s">
        <v>472</v>
      </c>
    </row>
    <row r="265" spans="11:11">
      <c r="K265" s="44" t="s">
        <v>473</v>
      </c>
    </row>
    <row r="266" spans="11:11">
      <c r="K266" s="44" t="s">
        <v>474</v>
      </c>
    </row>
    <row r="267" spans="11:11">
      <c r="K267" s="44" t="s">
        <v>475</v>
      </c>
    </row>
    <row r="268" spans="11:11">
      <c r="K268" s="40" t="s">
        <v>476</v>
      </c>
    </row>
    <row r="269" spans="11:11">
      <c r="K269" s="44" t="s">
        <v>477</v>
      </c>
    </row>
    <row r="270" spans="11:11">
      <c r="K270" s="44" t="s">
        <v>478</v>
      </c>
    </row>
    <row r="271" spans="11:11">
      <c r="K271" s="44" t="s">
        <v>479</v>
      </c>
    </row>
    <row r="272" spans="11:11">
      <c r="K272" s="44" t="s">
        <v>480</v>
      </c>
    </row>
  </sheetData>
  <sortState xmlns:xlrd2="http://schemas.microsoft.com/office/spreadsheetml/2017/richdata2" ref="AQ2:AS41">
    <sortCondition ref="AQ2:AQ41"/>
  </sortState>
  <phoneticPr fontId="3"/>
  <conditionalFormatting sqref="N5:N50">
    <cfRule type="duplicateValues" dxfId="8" priority="22"/>
  </conditionalFormatting>
  <conditionalFormatting sqref="N51:Q96">
    <cfRule type="duplicateValues" dxfId="7" priority="2"/>
  </conditionalFormatting>
  <conditionalFormatting sqref="O97">
    <cfRule type="duplicateValues" dxfId="6"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4"/>
  <cols>
    <col min="1" max="1" width="5.44140625" style="108" customWidth="1"/>
    <col min="2" max="2" width="6.21875" style="108" bestFit="1" customWidth="1"/>
    <col min="3" max="3" width="89.109375" style="108" bestFit="1" customWidth="1"/>
    <col min="4" max="16384" width="9" style="108"/>
  </cols>
  <sheetData>
    <row r="1" spans="2:3">
      <c r="B1" s="108" t="s">
        <v>510</v>
      </c>
      <c r="C1" s="108" t="s">
        <v>511</v>
      </c>
    </row>
    <row r="2" spans="2:3">
      <c r="C2" s="108" t="s">
        <v>567</v>
      </c>
    </row>
    <row r="3" spans="2:3">
      <c r="C3" s="108" t="s">
        <v>569</v>
      </c>
    </row>
    <row r="4" spans="2:3">
      <c r="B4" s="108" t="s">
        <v>1067</v>
      </c>
      <c r="C4" s="108"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2.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4.xml><?xml version="1.0" encoding="utf-8"?>
<ds:datastoreItem xmlns:ds="http://schemas.openxmlformats.org/officeDocument/2006/customXml" ds:itemID="{C2157E39-E796-4D19-A734-BD0A23FF56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Ashok Yadav</cp:lastModifiedBy>
  <cp:lastPrinted>2020-04-22T13:54:49Z</cp:lastPrinted>
  <dcterms:created xsi:type="dcterms:W3CDTF">1997-01-08T22:48:59Z</dcterms:created>
  <dcterms:modified xsi:type="dcterms:W3CDTF">2022-02-04T05:27:22Z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